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èses" sheetId="1" state="visible" r:id="rId1"/>
    <sheet name="1-Freemium+Abo" sheetId="2" state="visible" r:id="rId2"/>
    <sheet name="2-Gratuit+Pub" sheetId="3" state="visible" r:id="rId3"/>
    <sheet name="3-Paiement unité" sheetId="4" state="visible" r:id="rId4"/>
    <sheet name="4-Hybride" sheetId="5" state="visible" r:id="rId5"/>
    <sheet name="5-Affiliés" sheetId="6" state="visible" r:id="rId6"/>
    <sheet name="Compara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b val="1"/>
      <color rgb="00FFFFFF"/>
      <sz val="11"/>
    </font>
    <font>
      <b val="1"/>
      <color rgb="002F5496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5" fontId="0" fillId="4" borderId="1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HYPOTHÈSES GÉNÉRALES</t>
        </is>
      </c>
    </row>
    <row r="2">
      <c r="A2" s="2" t="inlineStr">
        <is>
          <t>Paramètre</t>
        </is>
      </c>
      <c r="B2" s="2" t="inlineStr">
        <is>
          <t>Valeur</t>
        </is>
      </c>
      <c r="C2" s="2" t="inlineStr">
        <is>
          <t>Unité</t>
        </is>
      </c>
    </row>
    <row r="3">
      <c r="A3" s="3" t="inlineStr">
        <is>
          <t>Utilisateurs initiaux</t>
        </is>
      </c>
      <c r="B3" s="4" t="n">
        <v>500</v>
      </c>
      <c r="C3" s="3" t="inlineStr">
        <is>
          <t>users</t>
        </is>
      </c>
    </row>
    <row r="4">
      <c r="A4" s="3" t="inlineStr">
        <is>
          <t>Croissance mensuelle</t>
        </is>
      </c>
      <c r="B4" s="5" t="n">
        <v>0.15</v>
      </c>
      <c r="C4" s="3" t="inlineStr">
        <is>
          <t>%</t>
        </is>
      </c>
    </row>
    <row r="5">
      <c r="A5" s="3" t="inlineStr">
        <is>
          <t>Coût API Claude par voyage (Sonnet+Haiku)</t>
        </is>
      </c>
      <c r="B5" s="6" t="n">
        <v>0.3</v>
      </c>
      <c r="C5" s="3" t="inlineStr">
        <is>
          <t>€</t>
        </is>
      </c>
    </row>
    <row r="6">
      <c r="A6" s="3" t="inlineStr">
        <is>
          <t>Coût SerpAPI par voyage</t>
        </is>
      </c>
      <c r="B6" s="6" t="n">
        <v>0.08</v>
      </c>
      <c r="C6" s="3" t="inlineStr">
        <is>
          <t>€</t>
        </is>
      </c>
    </row>
    <row r="7">
      <c r="A7" s="3" t="inlineStr">
        <is>
          <t>Coût Booking API par voyage (30% des trips)</t>
        </is>
      </c>
      <c r="B7" s="6" t="n">
        <v>0.02</v>
      </c>
      <c r="C7" s="3" t="inlineStr">
        <is>
          <t>€</t>
        </is>
      </c>
    </row>
    <row r="8">
      <c r="A8" s="3" t="inlineStr">
        <is>
          <t>Coût total API par voyage</t>
        </is>
      </c>
      <c r="B8" s="7">
        <f>B5+B6+B7</f>
        <v/>
      </c>
      <c r="C8" s="3" t="inlineStr">
        <is>
          <t>€</t>
        </is>
      </c>
    </row>
    <row r="9">
      <c r="A9" s="3" t="inlineStr">
        <is>
          <t>Coût serveur mensuel fixe</t>
        </is>
      </c>
      <c r="B9" s="6" t="n">
        <v>50</v>
      </c>
      <c r="C9" s="3" t="inlineStr">
        <is>
          <t>€</t>
        </is>
      </c>
    </row>
    <row r="10">
      <c r="A10" s="3" t="inlineStr">
        <is>
          <t>Voyages moyens par user free/mois</t>
        </is>
      </c>
      <c r="B10" s="4" t="n">
        <v>1</v>
      </c>
      <c r="C10" s="3" t="inlineStr">
        <is>
          <t>voyages</t>
        </is>
      </c>
    </row>
    <row r="11">
      <c r="A11" s="3" t="inlineStr">
        <is>
          <t>Voyages moyens par user power/mois</t>
        </is>
      </c>
      <c r="B11" s="4" t="n">
        <v>3</v>
      </c>
      <c r="C11" s="3" t="inlineStr">
        <is>
          <t>voyages</t>
        </is>
      </c>
    </row>
    <row r="14">
      <c r="A14" s="1" t="inlineStr">
        <is>
          <t>Modèle 1: Freemium + Abonnement (actuel)</t>
        </is>
      </c>
    </row>
    <row r="15">
      <c r="A15" s="2" t="inlineStr">
        <is>
          <t>Paramètre</t>
        </is>
      </c>
      <c r="B15" s="2" t="inlineStr">
        <is>
          <t>Valeur</t>
        </is>
      </c>
      <c r="C15" s="2" t="inlineStr">
        <is>
          <t>Unité</t>
        </is>
      </c>
    </row>
    <row r="16">
      <c r="A16" s="3" t="inlineStr">
        <is>
          <t>Taux conversion free→pro</t>
        </is>
      </c>
      <c r="B16" s="5" t="n">
        <v>0.05</v>
      </c>
      <c r="C16" s="3" t="inlineStr">
        <is>
          <t>%</t>
        </is>
      </c>
    </row>
    <row r="17">
      <c r="A17" s="3" t="inlineStr">
        <is>
          <t>Churn mensuel pro</t>
        </is>
      </c>
      <c r="B17" s="5" t="n">
        <v>0.03</v>
      </c>
      <c r="C17" s="3" t="inlineStr">
        <is>
          <t>%</t>
        </is>
      </c>
    </row>
    <row r="18">
      <c r="A18" s="3" t="inlineStr">
        <is>
          <t>Prix Pro annuel</t>
        </is>
      </c>
      <c r="B18" s="6" t="n">
        <v>9.99</v>
      </c>
      <c r="C18" s="3" t="inlineStr">
        <is>
          <t>€</t>
        </is>
      </c>
    </row>
    <row r="19">
      <c r="A19" s="3" t="inlineStr">
        <is>
          <t>Prix Pro mensuel</t>
        </is>
      </c>
      <c r="B19" s="6" t="n">
        <v>1.99</v>
      </c>
      <c r="C19" s="3" t="inlineStr">
        <is>
          <t>€</t>
        </is>
      </c>
    </row>
    <row r="20">
      <c r="A20" s="3" t="inlineStr">
        <is>
          <t>Part abonnés annuels</t>
        </is>
      </c>
      <c r="B20" s="5" t="n">
        <v>0.6</v>
      </c>
      <c r="C20" s="3" t="inlineStr">
        <is>
          <t>%</t>
        </is>
      </c>
    </row>
    <row r="21">
      <c r="A21" s="3" t="inlineStr">
        <is>
          <t>Prix achat unitaire</t>
        </is>
      </c>
      <c r="B21" s="6" t="n">
        <v>0.99</v>
      </c>
      <c r="C21" s="3" t="inlineStr">
        <is>
          <t>€</t>
        </is>
      </c>
    </row>
    <row r="22">
      <c r="A22" s="3" t="inlineStr">
        <is>
          <t>Achats unitaires par free user/mois</t>
        </is>
      </c>
      <c r="B22" s="4" t="n">
        <v>0.1</v>
      </c>
      <c r="C22" s="3" t="inlineStr">
        <is>
          <t>voyages</t>
        </is>
      </c>
    </row>
    <row r="23">
      <c r="A23" s="1" t="inlineStr">
        <is>
          <t>Modèle 2: Gratuit + Publicité</t>
        </is>
      </c>
    </row>
    <row r="24">
      <c r="A24" s="2" t="inlineStr">
        <is>
          <t>Paramètre</t>
        </is>
      </c>
      <c r="B24" s="2" t="inlineStr">
        <is>
          <t>Valeur</t>
        </is>
      </c>
      <c r="C24" s="2" t="inlineStr">
        <is>
          <t>Unité</t>
        </is>
      </c>
    </row>
    <row r="25">
      <c r="A25" s="3" t="inlineStr">
        <is>
          <t>CPM (pour 1000 impressions)</t>
        </is>
      </c>
      <c r="B25" s="6" t="n">
        <v>3</v>
      </c>
      <c r="C25" s="3" t="inlineStr">
        <is>
          <t>€</t>
        </is>
      </c>
    </row>
    <row r="26">
      <c r="A26" s="3" t="inlineStr">
        <is>
          <t>Pages vues par user/mois</t>
        </is>
      </c>
      <c r="B26" s="4" t="n">
        <v>10</v>
      </c>
      <c r="C26" s="3" t="inlineStr">
        <is>
          <t>pages</t>
        </is>
      </c>
    </row>
    <row r="27">
      <c r="A27" s="3" t="inlineStr">
        <is>
          <t>Impressions pub par page</t>
        </is>
      </c>
      <c r="B27" s="4" t="n">
        <v>2</v>
      </c>
      <c r="C27" s="3" t="inlineStr">
        <is>
          <t>impressions</t>
        </is>
      </c>
    </row>
    <row r="28">
      <c r="A28" s="3" t="inlineStr">
        <is>
          <t>Taux rétention mensuel</t>
        </is>
      </c>
      <c r="B28" s="5" t="n">
        <v>0.8</v>
      </c>
      <c r="C28" s="3" t="inlineStr">
        <is>
          <t>%</t>
        </is>
      </c>
    </row>
    <row r="29">
      <c r="A29" s="1" t="inlineStr">
        <is>
          <t>Modèle 3: Paiement à l'unité</t>
        </is>
      </c>
    </row>
    <row r="30">
      <c r="A30" s="2" t="inlineStr">
        <is>
          <t>Paramètre</t>
        </is>
      </c>
      <c r="B30" s="2" t="inlineStr">
        <is>
          <t>Valeur</t>
        </is>
      </c>
      <c r="C30" s="2" t="inlineStr">
        <is>
          <t>Unité</t>
        </is>
      </c>
    </row>
    <row r="31">
      <c r="A31" s="3" t="inlineStr">
        <is>
          <t>Prix par voyage</t>
        </is>
      </c>
      <c r="B31" s="6" t="n">
        <v>1.99</v>
      </c>
      <c r="C31" s="3" t="inlineStr">
        <is>
          <t>€</t>
        </is>
      </c>
    </row>
    <row r="32">
      <c r="A32" s="3" t="inlineStr">
        <is>
          <t>Voyages achetés par user actif/mois</t>
        </is>
      </c>
      <c r="B32" s="4" t="n">
        <v>1.5</v>
      </c>
      <c r="C32" s="3" t="inlineStr">
        <is>
          <t>voyages</t>
        </is>
      </c>
    </row>
    <row r="33">
      <c r="A33" s="3" t="inlineStr">
        <is>
          <t>Taux users actifs payants</t>
        </is>
      </c>
      <c r="B33" s="5" t="n">
        <v>0.25</v>
      </c>
      <c r="C33" s="3" t="inlineStr">
        <is>
          <t>%</t>
        </is>
      </c>
    </row>
    <row r="34">
      <c r="A34" s="3" t="inlineStr">
        <is>
          <t>Taux rétention mensuel</t>
        </is>
      </c>
      <c r="B34" s="5" t="n">
        <v>0.65</v>
      </c>
      <c r="C34" s="3" t="inlineStr">
        <is>
          <t>%</t>
        </is>
      </c>
    </row>
    <row r="35">
      <c r="A35" s="1" t="inlineStr">
        <is>
          <t>Modèle 4: Hybride Abo + Pub</t>
        </is>
      </c>
    </row>
    <row r="36">
      <c r="A36" s="2" t="inlineStr">
        <is>
          <t>Paramètre</t>
        </is>
      </c>
      <c r="B36" s="2" t="inlineStr">
        <is>
          <t>Valeur</t>
        </is>
      </c>
      <c r="C36" s="2" t="inlineStr">
        <is>
          <t>Unité</t>
        </is>
      </c>
    </row>
    <row r="37">
      <c r="A37" s="3" t="inlineStr">
        <is>
          <t>Taux conversion free→pro</t>
        </is>
      </c>
      <c r="B37" s="5" t="n">
        <v>0.04</v>
      </c>
      <c r="C37" s="3" t="inlineStr">
        <is>
          <t>%</t>
        </is>
      </c>
    </row>
    <row r="38">
      <c r="A38" s="3" t="inlineStr">
        <is>
          <t>Churn mensuel pro</t>
        </is>
      </c>
      <c r="B38" s="5" t="n">
        <v>0.03</v>
      </c>
      <c r="C38" s="3" t="inlineStr">
        <is>
          <t>%</t>
        </is>
      </c>
    </row>
    <row r="39">
      <c r="A39" s="3" t="inlineStr">
        <is>
          <t>Prix Pro annuel (sans pub)</t>
        </is>
      </c>
      <c r="B39" s="6" t="n">
        <v>9.99</v>
      </c>
      <c r="C39" s="3" t="inlineStr">
        <is>
          <t>€</t>
        </is>
      </c>
    </row>
    <row r="40">
      <c r="A40" s="3" t="inlineStr">
        <is>
          <t>CPM pub (free users)</t>
        </is>
      </c>
      <c r="B40" s="6" t="n">
        <v>3</v>
      </c>
      <c r="C40" s="3" t="inlineStr">
        <is>
          <t>€</t>
        </is>
      </c>
    </row>
    <row r="41">
      <c r="A41" s="3" t="inlineStr">
        <is>
          <t>Pages vues free user/mois</t>
        </is>
      </c>
      <c r="B41" s="4" t="n">
        <v>10</v>
      </c>
      <c r="C41" s="3" t="inlineStr">
        <is>
          <t>pages</t>
        </is>
      </c>
    </row>
    <row r="42">
      <c r="A42" s="3" t="inlineStr">
        <is>
          <t>Impressions pub par page</t>
        </is>
      </c>
      <c r="B42" s="4" t="n">
        <v>2</v>
      </c>
      <c r="C42" s="3" t="inlineStr">
        <is>
          <t>impressions</t>
        </is>
      </c>
    </row>
    <row r="43">
      <c r="A43" s="1" t="inlineStr">
        <is>
          <t>Modèle 5: Commission Affiliés (Viator/Booking)</t>
        </is>
      </c>
    </row>
    <row r="44">
      <c r="A44" s="2" t="inlineStr">
        <is>
          <t>Paramètre</t>
        </is>
      </c>
      <c r="B44" s="2" t="inlineStr">
        <is>
          <t>Valeur</t>
        </is>
      </c>
      <c r="C44" s="2" t="inlineStr">
        <is>
          <t>Unité</t>
        </is>
      </c>
    </row>
    <row r="45">
      <c r="A45" s="3" t="inlineStr">
        <is>
          <t>Taux de clic sur lien affilié</t>
        </is>
      </c>
      <c r="B45" s="5" t="n">
        <v>0.05</v>
      </c>
      <c r="C45" s="3" t="inlineStr">
        <is>
          <t>%</t>
        </is>
      </c>
    </row>
    <row r="46">
      <c r="A46" s="3" t="inlineStr">
        <is>
          <t>Taux de conversion booking</t>
        </is>
      </c>
      <c r="B46" s="5" t="n">
        <v>0.03</v>
      </c>
      <c r="C46" s="3" t="inlineStr">
        <is>
          <t>%</t>
        </is>
      </c>
    </row>
    <row r="47">
      <c r="A47" s="3" t="inlineStr">
        <is>
          <t>Commission moyenne par booking</t>
        </is>
      </c>
      <c r="B47" s="6" t="n">
        <v>8</v>
      </c>
      <c r="C47" s="3" t="inlineStr">
        <is>
          <t>€</t>
        </is>
      </c>
    </row>
    <row r="48">
      <c r="A48" s="3" t="inlineStr">
        <is>
          <t>Bookings suggérés par voyage</t>
        </is>
      </c>
      <c r="B48" s="4" t="n">
        <v>3</v>
      </c>
      <c r="C48" s="3" t="inlineStr">
        <is>
          <t>liens</t>
        </is>
      </c>
    </row>
    <row r="49">
      <c r="A49" s="3" t="inlineStr">
        <is>
          <t>Voyages par user/mois</t>
        </is>
      </c>
      <c r="B49" s="4" t="n">
        <v>1</v>
      </c>
      <c r="C49" s="3" t="inlineStr">
        <is>
          <t>voyages</t>
        </is>
      </c>
    </row>
  </sheetData>
  <mergeCells count="6">
    <mergeCell ref="A1:C1"/>
    <mergeCell ref="A23:C23"/>
    <mergeCell ref="A14:C14"/>
    <mergeCell ref="A35:C35"/>
    <mergeCell ref="A43:C43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Mois</t>
        </is>
      </c>
      <c r="B1" s="2" t="inlineStr">
        <is>
          <t>Users totaux</t>
        </is>
      </c>
      <c r="C1" s="2" t="inlineStr">
        <is>
          <t>Users free</t>
        </is>
      </c>
      <c r="D1" s="2" t="inlineStr">
        <is>
          <t>Users pro</t>
        </is>
      </c>
      <c r="E1" s="2" t="inlineStr">
        <is>
          <t>Nouveaux pro</t>
        </is>
      </c>
      <c r="F1" s="2" t="inlineStr">
        <is>
          <t>Churned pro</t>
        </is>
      </c>
      <c r="G1" s="2" t="inlineStr">
        <is>
          <t>Revenu abo (€)</t>
        </is>
      </c>
      <c r="H1" s="2" t="inlineStr">
        <is>
          <t>Revenu unitaire (€)</t>
        </is>
      </c>
      <c r="I1" s="2" t="inlineStr">
        <is>
          <t>Revenu total (€)</t>
        </is>
      </c>
      <c r="J1" s="2" t="inlineStr">
        <is>
          <t>Coût API (€)</t>
        </is>
      </c>
      <c r="K1" s="2" t="inlineStr">
        <is>
          <t>Coût serveur (€)</t>
        </is>
      </c>
      <c r="L1" s="2" t="inlineStr">
        <is>
          <t>Marge brute (€)</t>
        </is>
      </c>
      <c r="M1" s="2" t="inlineStr">
        <is>
          <t>Revenu cumulé (€)</t>
        </is>
      </c>
    </row>
    <row r="2">
      <c r="A2" t="n">
        <v>1</v>
      </c>
      <c r="B2" s="8">
        <f>'Hypothèses'!B3</f>
        <v/>
      </c>
      <c r="C2" s="8">
        <f>B2-D2</f>
        <v/>
      </c>
      <c r="D2" s="8">
        <f>ROUND(B2*'Hypothèses'!B16,0)</f>
        <v/>
      </c>
      <c r="E2" s="8">
        <f>ROUND(B2*'Hypothèses'!B16,0)</f>
        <v/>
      </c>
      <c r="F2" s="8" t="n">
        <v>0</v>
      </c>
      <c r="G2" s="9">
        <f>D2*('Hypothèses'!B20*'Hypothèses'!B18/12+(1-'Hypothèses'!B20)*'Hypothèses'!B19)</f>
        <v/>
      </c>
      <c r="H2" s="9">
        <f>C2*'Hypothèses'!B22*'Hypothèses'!B21</f>
        <v/>
      </c>
      <c r="I2" s="9">
        <f>G2+H2</f>
        <v/>
      </c>
      <c r="J2" s="9">
        <f>(C2*1+D2*3)*'Hypothèses'!B8</f>
        <v/>
      </c>
      <c r="K2" s="9">
        <f>'Hypothèses'!B9</f>
        <v/>
      </c>
      <c r="L2" s="9">
        <f>I2-J2-K2</f>
        <v/>
      </c>
      <c r="M2" s="9">
        <f>L2</f>
        <v/>
      </c>
    </row>
    <row r="3">
      <c r="A3" t="n">
        <v>2</v>
      </c>
      <c r="B3" s="8">
        <f>ROUND(B2*(1+'Hypothèses'!B4),0)</f>
        <v/>
      </c>
      <c r="C3" s="8">
        <f>B3-D3</f>
        <v/>
      </c>
      <c r="D3" s="8">
        <f>MAX(0,D2+E3-F3)</f>
        <v/>
      </c>
      <c r="E3" s="8">
        <f>ROUND((B3-D2)*'Hypothèses'!B16,0)</f>
        <v/>
      </c>
      <c r="F3" s="8">
        <f>ROUND(D2*'Hypothèses'!B17,0)</f>
        <v/>
      </c>
      <c r="G3" s="9">
        <f>D3*('Hypothèses'!B20*'Hypothèses'!B18/12+(1-'Hypothèses'!B20)*'Hypothèses'!B19)</f>
        <v/>
      </c>
      <c r="H3" s="9">
        <f>C3*'Hypothèses'!B22*'Hypothèses'!B21</f>
        <v/>
      </c>
      <c r="I3" s="9">
        <f>G3+H3</f>
        <v/>
      </c>
      <c r="J3" s="9">
        <f>(C3*1+D3*3)*'Hypothèses'!B8</f>
        <v/>
      </c>
      <c r="K3" s="9">
        <f>'Hypothèses'!B9</f>
        <v/>
      </c>
      <c r="L3" s="9">
        <f>I3-J3-K3</f>
        <v/>
      </c>
      <c r="M3" s="9">
        <f>M2+L3</f>
        <v/>
      </c>
    </row>
    <row r="4">
      <c r="A4" t="n">
        <v>3</v>
      </c>
      <c r="B4" s="8">
        <f>ROUND(B3*(1+'Hypothèses'!B4),0)</f>
        <v/>
      </c>
      <c r="C4" s="8">
        <f>B4-D4</f>
        <v/>
      </c>
      <c r="D4" s="8">
        <f>MAX(0,D3+E4-F4)</f>
        <v/>
      </c>
      <c r="E4" s="8">
        <f>ROUND((B4-D3)*'Hypothèses'!B16,0)</f>
        <v/>
      </c>
      <c r="F4" s="8">
        <f>ROUND(D3*'Hypothèses'!B17,0)</f>
        <v/>
      </c>
      <c r="G4" s="9">
        <f>D4*('Hypothèses'!B20*'Hypothèses'!B18/12+(1-'Hypothèses'!B20)*'Hypothèses'!B19)</f>
        <v/>
      </c>
      <c r="H4" s="9">
        <f>C4*'Hypothèses'!B22*'Hypothèses'!B21</f>
        <v/>
      </c>
      <c r="I4" s="9">
        <f>G4+H4</f>
        <v/>
      </c>
      <c r="J4" s="9">
        <f>(C4*1+D4*3)*'Hypothèses'!B8</f>
        <v/>
      </c>
      <c r="K4" s="9">
        <f>'Hypothèses'!B9</f>
        <v/>
      </c>
      <c r="L4" s="9">
        <f>I4-J4-K4</f>
        <v/>
      </c>
      <c r="M4" s="9">
        <f>M3+L4</f>
        <v/>
      </c>
    </row>
    <row r="5">
      <c r="A5" t="n">
        <v>4</v>
      </c>
      <c r="B5" s="8">
        <f>ROUND(B4*(1+'Hypothèses'!B4),0)</f>
        <v/>
      </c>
      <c r="C5" s="8">
        <f>B5-D5</f>
        <v/>
      </c>
      <c r="D5" s="8">
        <f>MAX(0,D4+E5-F5)</f>
        <v/>
      </c>
      <c r="E5" s="8">
        <f>ROUND((B5-D4)*'Hypothèses'!B16,0)</f>
        <v/>
      </c>
      <c r="F5" s="8">
        <f>ROUND(D4*'Hypothèses'!B17,0)</f>
        <v/>
      </c>
      <c r="G5" s="9">
        <f>D5*('Hypothèses'!B20*'Hypothèses'!B18/12+(1-'Hypothèses'!B20)*'Hypothèses'!B19)</f>
        <v/>
      </c>
      <c r="H5" s="9">
        <f>C5*'Hypothèses'!B22*'Hypothèses'!B21</f>
        <v/>
      </c>
      <c r="I5" s="9">
        <f>G5+H5</f>
        <v/>
      </c>
      <c r="J5" s="9">
        <f>(C5*1+D5*3)*'Hypothèses'!B8</f>
        <v/>
      </c>
      <c r="K5" s="9">
        <f>'Hypothèses'!B9</f>
        <v/>
      </c>
      <c r="L5" s="9">
        <f>I5-J5-K5</f>
        <v/>
      </c>
      <c r="M5" s="9">
        <f>M4+L5</f>
        <v/>
      </c>
    </row>
    <row r="6">
      <c r="A6" t="n">
        <v>5</v>
      </c>
      <c r="B6" s="8">
        <f>ROUND(B5*(1+'Hypothèses'!B4),0)</f>
        <v/>
      </c>
      <c r="C6" s="8">
        <f>B6-D6</f>
        <v/>
      </c>
      <c r="D6" s="8">
        <f>MAX(0,D5+E6-F6)</f>
        <v/>
      </c>
      <c r="E6" s="8">
        <f>ROUND((B6-D5)*'Hypothèses'!B16,0)</f>
        <v/>
      </c>
      <c r="F6" s="8">
        <f>ROUND(D5*'Hypothèses'!B17,0)</f>
        <v/>
      </c>
      <c r="G6" s="9">
        <f>D6*('Hypothèses'!B20*'Hypothèses'!B18/12+(1-'Hypothèses'!B20)*'Hypothèses'!B19)</f>
        <v/>
      </c>
      <c r="H6" s="9">
        <f>C6*'Hypothèses'!B22*'Hypothèses'!B21</f>
        <v/>
      </c>
      <c r="I6" s="9">
        <f>G6+H6</f>
        <v/>
      </c>
      <c r="J6" s="9">
        <f>(C6*1+D6*3)*'Hypothèses'!B8</f>
        <v/>
      </c>
      <c r="K6" s="9">
        <f>'Hypothèses'!B9</f>
        <v/>
      </c>
      <c r="L6" s="9">
        <f>I6-J6-K6</f>
        <v/>
      </c>
      <c r="M6" s="9">
        <f>M5+L6</f>
        <v/>
      </c>
    </row>
    <row r="7">
      <c r="A7" t="n">
        <v>6</v>
      </c>
      <c r="B7" s="8">
        <f>ROUND(B6*(1+'Hypothèses'!B4),0)</f>
        <v/>
      </c>
      <c r="C7" s="8">
        <f>B7-D7</f>
        <v/>
      </c>
      <c r="D7" s="8">
        <f>MAX(0,D6+E7-F7)</f>
        <v/>
      </c>
      <c r="E7" s="8">
        <f>ROUND((B7-D6)*'Hypothèses'!B16,0)</f>
        <v/>
      </c>
      <c r="F7" s="8">
        <f>ROUND(D6*'Hypothèses'!B17,0)</f>
        <v/>
      </c>
      <c r="G7" s="9">
        <f>D7*('Hypothèses'!B20*'Hypothèses'!B18/12+(1-'Hypothèses'!B20)*'Hypothèses'!B19)</f>
        <v/>
      </c>
      <c r="H7" s="9">
        <f>C7*'Hypothèses'!B22*'Hypothèses'!B21</f>
        <v/>
      </c>
      <c r="I7" s="9">
        <f>G7+H7</f>
        <v/>
      </c>
      <c r="J7" s="9">
        <f>(C7*1+D7*3)*'Hypothèses'!B8</f>
        <v/>
      </c>
      <c r="K7" s="9">
        <f>'Hypothèses'!B9</f>
        <v/>
      </c>
      <c r="L7" s="9">
        <f>I7-J7-K7</f>
        <v/>
      </c>
      <c r="M7" s="9">
        <f>M6+L7</f>
        <v/>
      </c>
    </row>
    <row r="8">
      <c r="A8" t="n">
        <v>7</v>
      </c>
      <c r="B8" s="8">
        <f>ROUND(B7*(1+'Hypothèses'!B4),0)</f>
        <v/>
      </c>
      <c r="C8" s="8">
        <f>B8-D8</f>
        <v/>
      </c>
      <c r="D8" s="8">
        <f>MAX(0,D7+E8-F8)</f>
        <v/>
      </c>
      <c r="E8" s="8">
        <f>ROUND((B8-D7)*'Hypothèses'!B16,0)</f>
        <v/>
      </c>
      <c r="F8" s="8">
        <f>ROUND(D7*'Hypothèses'!B17,0)</f>
        <v/>
      </c>
      <c r="G8" s="9">
        <f>D8*('Hypothèses'!B20*'Hypothèses'!B18/12+(1-'Hypothèses'!B20)*'Hypothèses'!B19)</f>
        <v/>
      </c>
      <c r="H8" s="9">
        <f>C8*'Hypothèses'!B22*'Hypothèses'!B21</f>
        <v/>
      </c>
      <c r="I8" s="9">
        <f>G8+H8</f>
        <v/>
      </c>
      <c r="J8" s="9">
        <f>(C8*1+D8*3)*'Hypothèses'!B8</f>
        <v/>
      </c>
      <c r="K8" s="9">
        <f>'Hypothèses'!B9</f>
        <v/>
      </c>
      <c r="L8" s="9">
        <f>I8-J8-K8</f>
        <v/>
      </c>
      <c r="M8" s="9">
        <f>M7+L8</f>
        <v/>
      </c>
    </row>
    <row r="9">
      <c r="A9" t="n">
        <v>8</v>
      </c>
      <c r="B9" s="8">
        <f>ROUND(B8*(1+'Hypothèses'!B4),0)</f>
        <v/>
      </c>
      <c r="C9" s="8">
        <f>B9-D9</f>
        <v/>
      </c>
      <c r="D9" s="8">
        <f>MAX(0,D8+E9-F9)</f>
        <v/>
      </c>
      <c r="E9" s="8">
        <f>ROUND((B9-D8)*'Hypothèses'!B16,0)</f>
        <v/>
      </c>
      <c r="F9" s="8">
        <f>ROUND(D8*'Hypothèses'!B17,0)</f>
        <v/>
      </c>
      <c r="G9" s="9">
        <f>D9*('Hypothèses'!B20*'Hypothèses'!B18/12+(1-'Hypothèses'!B20)*'Hypothèses'!B19)</f>
        <v/>
      </c>
      <c r="H9" s="9">
        <f>C9*'Hypothèses'!B22*'Hypothèses'!B21</f>
        <v/>
      </c>
      <c r="I9" s="9">
        <f>G9+H9</f>
        <v/>
      </c>
      <c r="J9" s="9">
        <f>(C9*1+D9*3)*'Hypothèses'!B8</f>
        <v/>
      </c>
      <c r="K9" s="9">
        <f>'Hypothèses'!B9</f>
        <v/>
      </c>
      <c r="L9" s="9">
        <f>I9-J9-K9</f>
        <v/>
      </c>
      <c r="M9" s="9">
        <f>M8+L9</f>
        <v/>
      </c>
    </row>
    <row r="10">
      <c r="A10" t="n">
        <v>9</v>
      </c>
      <c r="B10" s="8">
        <f>ROUND(B9*(1+'Hypothèses'!B4),0)</f>
        <v/>
      </c>
      <c r="C10" s="8">
        <f>B10-D10</f>
        <v/>
      </c>
      <c r="D10" s="8">
        <f>MAX(0,D9+E10-F10)</f>
        <v/>
      </c>
      <c r="E10" s="8">
        <f>ROUND((B10-D9)*'Hypothèses'!B16,0)</f>
        <v/>
      </c>
      <c r="F10" s="8">
        <f>ROUND(D9*'Hypothèses'!B17,0)</f>
        <v/>
      </c>
      <c r="G10" s="9">
        <f>D10*('Hypothèses'!B20*'Hypothèses'!B18/12+(1-'Hypothèses'!B20)*'Hypothèses'!B19)</f>
        <v/>
      </c>
      <c r="H10" s="9">
        <f>C10*'Hypothèses'!B22*'Hypothèses'!B21</f>
        <v/>
      </c>
      <c r="I10" s="9">
        <f>G10+H10</f>
        <v/>
      </c>
      <c r="J10" s="9">
        <f>(C10*1+D10*3)*'Hypothèses'!B8</f>
        <v/>
      </c>
      <c r="K10" s="9">
        <f>'Hypothèses'!B9</f>
        <v/>
      </c>
      <c r="L10" s="9">
        <f>I10-J10-K10</f>
        <v/>
      </c>
      <c r="M10" s="9">
        <f>M9+L10</f>
        <v/>
      </c>
    </row>
    <row r="11">
      <c r="A11" t="n">
        <v>10</v>
      </c>
      <c r="B11" s="8">
        <f>ROUND(B10*(1+'Hypothèses'!B4),0)</f>
        <v/>
      </c>
      <c r="C11" s="8">
        <f>B11-D11</f>
        <v/>
      </c>
      <c r="D11" s="8">
        <f>MAX(0,D10+E11-F11)</f>
        <v/>
      </c>
      <c r="E11" s="8">
        <f>ROUND((B11-D10)*'Hypothèses'!B16,0)</f>
        <v/>
      </c>
      <c r="F11" s="8">
        <f>ROUND(D10*'Hypothèses'!B17,0)</f>
        <v/>
      </c>
      <c r="G11" s="9">
        <f>D11*('Hypothèses'!B20*'Hypothèses'!B18/12+(1-'Hypothèses'!B20)*'Hypothèses'!B19)</f>
        <v/>
      </c>
      <c r="H11" s="9">
        <f>C11*'Hypothèses'!B22*'Hypothèses'!B21</f>
        <v/>
      </c>
      <c r="I11" s="9">
        <f>G11+H11</f>
        <v/>
      </c>
      <c r="J11" s="9">
        <f>(C11*1+D11*3)*'Hypothèses'!B8</f>
        <v/>
      </c>
      <c r="K11" s="9">
        <f>'Hypothèses'!B9</f>
        <v/>
      </c>
      <c r="L11" s="9">
        <f>I11-J11-K11</f>
        <v/>
      </c>
      <c r="M11" s="9">
        <f>M10+L11</f>
        <v/>
      </c>
    </row>
    <row r="12">
      <c r="A12" t="n">
        <v>11</v>
      </c>
      <c r="B12" s="8">
        <f>ROUND(B11*(1+'Hypothèses'!B4),0)</f>
        <v/>
      </c>
      <c r="C12" s="8">
        <f>B12-D12</f>
        <v/>
      </c>
      <c r="D12" s="8">
        <f>MAX(0,D11+E12-F12)</f>
        <v/>
      </c>
      <c r="E12" s="8">
        <f>ROUND((B12-D11)*'Hypothèses'!B16,0)</f>
        <v/>
      </c>
      <c r="F12" s="8">
        <f>ROUND(D11*'Hypothèses'!B17,0)</f>
        <v/>
      </c>
      <c r="G12" s="9">
        <f>D12*('Hypothèses'!B20*'Hypothèses'!B18/12+(1-'Hypothèses'!B20)*'Hypothèses'!B19)</f>
        <v/>
      </c>
      <c r="H12" s="9">
        <f>C12*'Hypothèses'!B22*'Hypothèses'!B21</f>
        <v/>
      </c>
      <c r="I12" s="9">
        <f>G12+H12</f>
        <v/>
      </c>
      <c r="J12" s="9">
        <f>(C12*1+D12*3)*'Hypothèses'!B8</f>
        <v/>
      </c>
      <c r="K12" s="9">
        <f>'Hypothèses'!B9</f>
        <v/>
      </c>
      <c r="L12" s="9">
        <f>I12-J12-K12</f>
        <v/>
      </c>
      <c r="M12" s="9">
        <f>M11+L12</f>
        <v/>
      </c>
    </row>
    <row r="13">
      <c r="A13" t="n">
        <v>12</v>
      </c>
      <c r="B13" s="8">
        <f>ROUND(B12*(1+'Hypothèses'!B4),0)</f>
        <v/>
      </c>
      <c r="C13" s="8">
        <f>B13-D13</f>
        <v/>
      </c>
      <c r="D13" s="8">
        <f>MAX(0,D12+E13-F13)</f>
        <v/>
      </c>
      <c r="E13" s="8">
        <f>ROUND((B13-D12)*'Hypothèses'!B16,0)</f>
        <v/>
      </c>
      <c r="F13" s="8">
        <f>ROUND(D12*'Hypothèses'!B17,0)</f>
        <v/>
      </c>
      <c r="G13" s="9">
        <f>D13*('Hypothèses'!B20*'Hypothèses'!B18/12+(1-'Hypothèses'!B20)*'Hypothèses'!B19)</f>
        <v/>
      </c>
      <c r="H13" s="9">
        <f>C13*'Hypothèses'!B22*'Hypothèses'!B21</f>
        <v/>
      </c>
      <c r="I13" s="9">
        <f>G13+H13</f>
        <v/>
      </c>
      <c r="J13" s="9">
        <f>(C13*1+D13*3)*'Hypothèses'!B8</f>
        <v/>
      </c>
      <c r="K13" s="9">
        <f>'Hypothèses'!B9</f>
        <v/>
      </c>
      <c r="L13" s="9">
        <f>I13-J13-K13</f>
        <v/>
      </c>
      <c r="M13" s="9">
        <f>M12+L13</f>
        <v/>
      </c>
    </row>
    <row r="14">
      <c r="A14" t="n">
        <v>13</v>
      </c>
      <c r="B14" s="8">
        <f>ROUND(B13*(1+'Hypothèses'!B4),0)</f>
        <v/>
      </c>
      <c r="C14" s="8">
        <f>B14-D14</f>
        <v/>
      </c>
      <c r="D14" s="8">
        <f>MAX(0,D13+E14-F14)</f>
        <v/>
      </c>
      <c r="E14" s="8">
        <f>ROUND((B14-D13)*'Hypothèses'!B16,0)</f>
        <v/>
      </c>
      <c r="F14" s="8">
        <f>ROUND(D13*'Hypothèses'!B17,0)</f>
        <v/>
      </c>
      <c r="G14" s="9">
        <f>D14*('Hypothèses'!B20*'Hypothèses'!B18/12+(1-'Hypothèses'!B20)*'Hypothèses'!B19)</f>
        <v/>
      </c>
      <c r="H14" s="9">
        <f>C14*'Hypothèses'!B22*'Hypothèses'!B21</f>
        <v/>
      </c>
      <c r="I14" s="9">
        <f>G14+H14</f>
        <v/>
      </c>
      <c r="J14" s="9">
        <f>(C14*1+D14*3)*'Hypothèses'!B8</f>
        <v/>
      </c>
      <c r="K14" s="9">
        <f>'Hypothèses'!B9</f>
        <v/>
      </c>
      <c r="L14" s="9">
        <f>I14-J14-K14</f>
        <v/>
      </c>
      <c r="M14" s="9">
        <f>M13+L14</f>
        <v/>
      </c>
    </row>
    <row r="15">
      <c r="A15" t="n">
        <v>14</v>
      </c>
      <c r="B15" s="8">
        <f>ROUND(B14*(1+'Hypothèses'!B4),0)</f>
        <v/>
      </c>
      <c r="C15" s="8">
        <f>B15-D15</f>
        <v/>
      </c>
      <c r="D15" s="8">
        <f>MAX(0,D14+E15-F15)</f>
        <v/>
      </c>
      <c r="E15" s="8">
        <f>ROUND((B15-D14)*'Hypothèses'!B16,0)</f>
        <v/>
      </c>
      <c r="F15" s="8">
        <f>ROUND(D14*'Hypothèses'!B17,0)</f>
        <v/>
      </c>
      <c r="G15" s="9">
        <f>D15*('Hypothèses'!B20*'Hypothèses'!B18/12+(1-'Hypothèses'!B20)*'Hypothèses'!B19)</f>
        <v/>
      </c>
      <c r="H15" s="9">
        <f>C15*'Hypothèses'!B22*'Hypothèses'!B21</f>
        <v/>
      </c>
      <c r="I15" s="9">
        <f>G15+H15</f>
        <v/>
      </c>
      <c r="J15" s="9">
        <f>(C15*1+D15*3)*'Hypothèses'!B8</f>
        <v/>
      </c>
      <c r="K15" s="9">
        <f>'Hypothèses'!B9</f>
        <v/>
      </c>
      <c r="L15" s="9">
        <f>I15-J15-K15</f>
        <v/>
      </c>
      <c r="M15" s="9">
        <f>M14+L15</f>
        <v/>
      </c>
    </row>
    <row r="16">
      <c r="A16" t="n">
        <v>15</v>
      </c>
      <c r="B16" s="8">
        <f>ROUND(B15*(1+'Hypothèses'!B4),0)</f>
        <v/>
      </c>
      <c r="C16" s="8">
        <f>B16-D16</f>
        <v/>
      </c>
      <c r="D16" s="8">
        <f>MAX(0,D15+E16-F16)</f>
        <v/>
      </c>
      <c r="E16" s="8">
        <f>ROUND((B16-D15)*'Hypothèses'!B16,0)</f>
        <v/>
      </c>
      <c r="F16" s="8">
        <f>ROUND(D15*'Hypothèses'!B17,0)</f>
        <v/>
      </c>
      <c r="G16" s="9">
        <f>D16*('Hypothèses'!B20*'Hypothèses'!B18/12+(1-'Hypothèses'!B20)*'Hypothèses'!B19)</f>
        <v/>
      </c>
      <c r="H16" s="9">
        <f>C16*'Hypothèses'!B22*'Hypothèses'!B21</f>
        <v/>
      </c>
      <c r="I16" s="9">
        <f>G16+H16</f>
        <v/>
      </c>
      <c r="J16" s="9">
        <f>(C16*1+D16*3)*'Hypothèses'!B8</f>
        <v/>
      </c>
      <c r="K16" s="9">
        <f>'Hypothèses'!B9</f>
        <v/>
      </c>
      <c r="L16" s="9">
        <f>I16-J16-K16</f>
        <v/>
      </c>
      <c r="M16" s="9">
        <f>M15+L16</f>
        <v/>
      </c>
    </row>
    <row r="17">
      <c r="A17" t="n">
        <v>16</v>
      </c>
      <c r="B17" s="8">
        <f>ROUND(B16*(1+'Hypothèses'!B4),0)</f>
        <v/>
      </c>
      <c r="C17" s="8">
        <f>B17-D17</f>
        <v/>
      </c>
      <c r="D17" s="8">
        <f>MAX(0,D16+E17-F17)</f>
        <v/>
      </c>
      <c r="E17" s="8">
        <f>ROUND((B17-D16)*'Hypothèses'!B16,0)</f>
        <v/>
      </c>
      <c r="F17" s="8">
        <f>ROUND(D16*'Hypothèses'!B17,0)</f>
        <v/>
      </c>
      <c r="G17" s="9">
        <f>D17*('Hypothèses'!B20*'Hypothèses'!B18/12+(1-'Hypothèses'!B20)*'Hypothèses'!B19)</f>
        <v/>
      </c>
      <c r="H17" s="9">
        <f>C17*'Hypothèses'!B22*'Hypothèses'!B21</f>
        <v/>
      </c>
      <c r="I17" s="9">
        <f>G17+H17</f>
        <v/>
      </c>
      <c r="J17" s="9">
        <f>(C17*1+D17*3)*'Hypothèses'!B8</f>
        <v/>
      </c>
      <c r="K17" s="9">
        <f>'Hypothèses'!B9</f>
        <v/>
      </c>
      <c r="L17" s="9">
        <f>I17-J17-K17</f>
        <v/>
      </c>
      <c r="M17" s="9">
        <f>M16+L17</f>
        <v/>
      </c>
    </row>
    <row r="18">
      <c r="A18" t="n">
        <v>17</v>
      </c>
      <c r="B18" s="8">
        <f>ROUND(B17*(1+'Hypothèses'!B4),0)</f>
        <v/>
      </c>
      <c r="C18" s="8">
        <f>B18-D18</f>
        <v/>
      </c>
      <c r="D18" s="8">
        <f>MAX(0,D17+E18-F18)</f>
        <v/>
      </c>
      <c r="E18" s="8">
        <f>ROUND((B18-D17)*'Hypothèses'!B16,0)</f>
        <v/>
      </c>
      <c r="F18" s="8">
        <f>ROUND(D17*'Hypothèses'!B17,0)</f>
        <v/>
      </c>
      <c r="G18" s="9">
        <f>D18*('Hypothèses'!B20*'Hypothèses'!B18/12+(1-'Hypothèses'!B20)*'Hypothèses'!B19)</f>
        <v/>
      </c>
      <c r="H18" s="9">
        <f>C18*'Hypothèses'!B22*'Hypothèses'!B21</f>
        <v/>
      </c>
      <c r="I18" s="9">
        <f>G18+H18</f>
        <v/>
      </c>
      <c r="J18" s="9">
        <f>(C18*1+D18*3)*'Hypothèses'!B8</f>
        <v/>
      </c>
      <c r="K18" s="9">
        <f>'Hypothèses'!B9</f>
        <v/>
      </c>
      <c r="L18" s="9">
        <f>I18-J18-K18</f>
        <v/>
      </c>
      <c r="M18" s="9">
        <f>M17+L18</f>
        <v/>
      </c>
    </row>
    <row r="19">
      <c r="A19" t="n">
        <v>18</v>
      </c>
      <c r="B19" s="8">
        <f>ROUND(B18*(1+'Hypothèses'!B4),0)</f>
        <v/>
      </c>
      <c r="C19" s="8">
        <f>B19-D19</f>
        <v/>
      </c>
      <c r="D19" s="8">
        <f>MAX(0,D18+E19-F19)</f>
        <v/>
      </c>
      <c r="E19" s="8">
        <f>ROUND((B19-D18)*'Hypothèses'!B16,0)</f>
        <v/>
      </c>
      <c r="F19" s="8">
        <f>ROUND(D18*'Hypothèses'!B17,0)</f>
        <v/>
      </c>
      <c r="G19" s="9">
        <f>D19*('Hypothèses'!B20*'Hypothèses'!B18/12+(1-'Hypothèses'!B20)*'Hypothèses'!B19)</f>
        <v/>
      </c>
      <c r="H19" s="9">
        <f>C19*'Hypothèses'!B22*'Hypothèses'!B21</f>
        <v/>
      </c>
      <c r="I19" s="9">
        <f>G19+H19</f>
        <v/>
      </c>
      <c r="J19" s="9">
        <f>(C19*1+D19*3)*'Hypothèses'!B8</f>
        <v/>
      </c>
      <c r="K19" s="9">
        <f>'Hypothèses'!B9</f>
        <v/>
      </c>
      <c r="L19" s="9">
        <f>I19-J19-K19</f>
        <v/>
      </c>
      <c r="M19" s="9">
        <f>M18+L19</f>
        <v/>
      </c>
    </row>
    <row r="20">
      <c r="A20" t="n">
        <v>19</v>
      </c>
      <c r="B20" s="8">
        <f>ROUND(B19*(1+'Hypothèses'!B4),0)</f>
        <v/>
      </c>
      <c r="C20" s="8">
        <f>B20-D20</f>
        <v/>
      </c>
      <c r="D20" s="8">
        <f>MAX(0,D19+E20-F20)</f>
        <v/>
      </c>
      <c r="E20" s="8">
        <f>ROUND((B20-D19)*'Hypothèses'!B16,0)</f>
        <v/>
      </c>
      <c r="F20" s="8">
        <f>ROUND(D19*'Hypothèses'!B17,0)</f>
        <v/>
      </c>
      <c r="G20" s="9">
        <f>D20*('Hypothèses'!B20*'Hypothèses'!B18/12+(1-'Hypothèses'!B20)*'Hypothèses'!B19)</f>
        <v/>
      </c>
      <c r="H20" s="9">
        <f>C20*'Hypothèses'!B22*'Hypothèses'!B21</f>
        <v/>
      </c>
      <c r="I20" s="9">
        <f>G20+H20</f>
        <v/>
      </c>
      <c r="J20" s="9">
        <f>(C20*1+D20*3)*'Hypothèses'!B8</f>
        <v/>
      </c>
      <c r="K20" s="9">
        <f>'Hypothèses'!B9</f>
        <v/>
      </c>
      <c r="L20" s="9">
        <f>I20-J20-K20</f>
        <v/>
      </c>
      <c r="M20" s="9">
        <f>M19+L20</f>
        <v/>
      </c>
    </row>
    <row r="21">
      <c r="A21" t="n">
        <v>20</v>
      </c>
      <c r="B21" s="8">
        <f>ROUND(B20*(1+'Hypothèses'!B4),0)</f>
        <v/>
      </c>
      <c r="C21" s="8">
        <f>B21-D21</f>
        <v/>
      </c>
      <c r="D21" s="8">
        <f>MAX(0,D20+E21-F21)</f>
        <v/>
      </c>
      <c r="E21" s="8">
        <f>ROUND((B21-D20)*'Hypothèses'!B16,0)</f>
        <v/>
      </c>
      <c r="F21" s="8">
        <f>ROUND(D20*'Hypothèses'!B17,0)</f>
        <v/>
      </c>
      <c r="G21" s="9">
        <f>D21*('Hypothèses'!B20*'Hypothèses'!B18/12+(1-'Hypothèses'!B20)*'Hypothèses'!B19)</f>
        <v/>
      </c>
      <c r="H21" s="9">
        <f>C21*'Hypothèses'!B22*'Hypothèses'!B21</f>
        <v/>
      </c>
      <c r="I21" s="9">
        <f>G21+H21</f>
        <v/>
      </c>
      <c r="J21" s="9">
        <f>(C21*1+D21*3)*'Hypothèses'!B8</f>
        <v/>
      </c>
      <c r="K21" s="9">
        <f>'Hypothèses'!B9</f>
        <v/>
      </c>
      <c r="L21" s="9">
        <f>I21-J21-K21</f>
        <v/>
      </c>
      <c r="M21" s="9">
        <f>M20+L21</f>
        <v/>
      </c>
    </row>
    <row r="22">
      <c r="A22" t="n">
        <v>21</v>
      </c>
      <c r="B22" s="8">
        <f>ROUND(B21*(1+'Hypothèses'!B4),0)</f>
        <v/>
      </c>
      <c r="C22" s="8">
        <f>B22-D22</f>
        <v/>
      </c>
      <c r="D22" s="8">
        <f>MAX(0,D21+E22-F22)</f>
        <v/>
      </c>
      <c r="E22" s="8">
        <f>ROUND((B22-D21)*'Hypothèses'!B16,0)</f>
        <v/>
      </c>
      <c r="F22" s="8">
        <f>ROUND(D21*'Hypothèses'!B17,0)</f>
        <v/>
      </c>
      <c r="G22" s="9">
        <f>D22*('Hypothèses'!B20*'Hypothèses'!B18/12+(1-'Hypothèses'!B20)*'Hypothèses'!B19)</f>
        <v/>
      </c>
      <c r="H22" s="9">
        <f>C22*'Hypothèses'!B22*'Hypothèses'!B21</f>
        <v/>
      </c>
      <c r="I22" s="9">
        <f>G22+H22</f>
        <v/>
      </c>
      <c r="J22" s="9">
        <f>(C22*1+D22*3)*'Hypothèses'!B8</f>
        <v/>
      </c>
      <c r="K22" s="9">
        <f>'Hypothèses'!B9</f>
        <v/>
      </c>
      <c r="L22" s="9">
        <f>I22-J22-K22</f>
        <v/>
      </c>
      <c r="M22" s="9">
        <f>M21+L22</f>
        <v/>
      </c>
    </row>
    <row r="23">
      <c r="A23" t="n">
        <v>22</v>
      </c>
      <c r="B23" s="8">
        <f>ROUND(B22*(1+'Hypothèses'!B4),0)</f>
        <v/>
      </c>
      <c r="C23" s="8">
        <f>B23-D23</f>
        <v/>
      </c>
      <c r="D23" s="8">
        <f>MAX(0,D22+E23-F23)</f>
        <v/>
      </c>
      <c r="E23" s="8">
        <f>ROUND((B23-D22)*'Hypothèses'!B16,0)</f>
        <v/>
      </c>
      <c r="F23" s="8">
        <f>ROUND(D22*'Hypothèses'!B17,0)</f>
        <v/>
      </c>
      <c r="G23" s="9">
        <f>D23*('Hypothèses'!B20*'Hypothèses'!B18/12+(1-'Hypothèses'!B20)*'Hypothèses'!B19)</f>
        <v/>
      </c>
      <c r="H23" s="9">
        <f>C23*'Hypothèses'!B22*'Hypothèses'!B21</f>
        <v/>
      </c>
      <c r="I23" s="9">
        <f>G23+H23</f>
        <v/>
      </c>
      <c r="J23" s="9">
        <f>(C23*1+D23*3)*'Hypothèses'!B8</f>
        <v/>
      </c>
      <c r="K23" s="9">
        <f>'Hypothèses'!B9</f>
        <v/>
      </c>
      <c r="L23" s="9">
        <f>I23-J23-K23</f>
        <v/>
      </c>
      <c r="M23" s="9">
        <f>M22+L23</f>
        <v/>
      </c>
    </row>
    <row r="24">
      <c r="A24" t="n">
        <v>23</v>
      </c>
      <c r="B24" s="8">
        <f>ROUND(B23*(1+'Hypothèses'!B4),0)</f>
        <v/>
      </c>
      <c r="C24" s="8">
        <f>B24-D24</f>
        <v/>
      </c>
      <c r="D24" s="8">
        <f>MAX(0,D23+E24-F24)</f>
        <v/>
      </c>
      <c r="E24" s="8">
        <f>ROUND((B24-D23)*'Hypothèses'!B16,0)</f>
        <v/>
      </c>
      <c r="F24" s="8">
        <f>ROUND(D23*'Hypothèses'!B17,0)</f>
        <v/>
      </c>
      <c r="G24" s="9">
        <f>D24*('Hypothèses'!B20*'Hypothèses'!B18/12+(1-'Hypothèses'!B20)*'Hypothèses'!B19)</f>
        <v/>
      </c>
      <c r="H24" s="9">
        <f>C24*'Hypothèses'!B22*'Hypothèses'!B21</f>
        <v/>
      </c>
      <c r="I24" s="9">
        <f>G24+H24</f>
        <v/>
      </c>
      <c r="J24" s="9">
        <f>(C24*1+D24*3)*'Hypothèses'!B8</f>
        <v/>
      </c>
      <c r="K24" s="9">
        <f>'Hypothèses'!B9</f>
        <v/>
      </c>
      <c r="L24" s="9">
        <f>I24-J24-K24</f>
        <v/>
      </c>
      <c r="M24" s="9">
        <f>M23+L24</f>
        <v/>
      </c>
    </row>
    <row r="25">
      <c r="A25" t="n">
        <v>24</v>
      </c>
      <c r="B25" s="8">
        <f>ROUND(B24*(1+'Hypothèses'!B4),0)</f>
        <v/>
      </c>
      <c r="C25" s="8">
        <f>B25-D25</f>
        <v/>
      </c>
      <c r="D25" s="8">
        <f>MAX(0,D24+E25-F25)</f>
        <v/>
      </c>
      <c r="E25" s="8">
        <f>ROUND((B25-D24)*'Hypothèses'!B16,0)</f>
        <v/>
      </c>
      <c r="F25" s="8">
        <f>ROUND(D24*'Hypothèses'!B17,0)</f>
        <v/>
      </c>
      <c r="G25" s="9">
        <f>D25*('Hypothèses'!B20*'Hypothèses'!B18/12+(1-'Hypothèses'!B20)*'Hypothèses'!B19)</f>
        <v/>
      </c>
      <c r="H25" s="9">
        <f>C25*'Hypothèses'!B22*'Hypothèses'!B21</f>
        <v/>
      </c>
      <c r="I25" s="9">
        <f>G25+H25</f>
        <v/>
      </c>
      <c r="J25" s="9">
        <f>(C25*1+D25*3)*'Hypothèses'!B8</f>
        <v/>
      </c>
      <c r="K25" s="9">
        <f>'Hypothèses'!B9</f>
        <v/>
      </c>
      <c r="L25" s="9">
        <f>I25-J25-K25</f>
        <v/>
      </c>
      <c r="M25" s="9">
        <f>M24+L25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Mois</t>
        </is>
      </c>
      <c r="B1" s="2" t="inlineStr">
        <is>
          <t>Users totaux</t>
        </is>
      </c>
      <c r="C1" s="2" t="inlineStr">
        <is>
          <t>Users actifs</t>
        </is>
      </c>
      <c r="D1" s="2" t="inlineStr">
        <is>
          <t>Pages vues</t>
        </is>
      </c>
      <c r="E1" s="2" t="inlineStr">
        <is>
          <t>Impressions</t>
        </is>
      </c>
      <c r="F1" s="2" t="inlineStr">
        <is>
          <t>Revenu pub (€)</t>
        </is>
      </c>
      <c r="G1" s="2" t="inlineStr">
        <is>
          <t>Coût API (€)</t>
        </is>
      </c>
      <c r="H1" s="2" t="inlineStr">
        <is>
          <t>Coût serveur (€)</t>
        </is>
      </c>
      <c r="I1" s="2" t="inlineStr">
        <is>
          <t>Marge brute (€)</t>
        </is>
      </c>
      <c r="J1" s="2" t="inlineStr">
        <is>
          <t>Revenu cumulé (€)</t>
        </is>
      </c>
    </row>
    <row r="2">
      <c r="A2" t="n">
        <v>1</v>
      </c>
      <c r="B2" s="8">
        <f>'Hypothèses'!B3</f>
        <v/>
      </c>
      <c r="C2" s="8">
        <f>'Hypothèses'!B3</f>
        <v/>
      </c>
      <c r="D2">
        <f>C2*'Hypothèses'!B26</f>
        <v/>
      </c>
      <c r="E2">
        <f>D2*'Hypothèses'!B27</f>
        <v/>
      </c>
      <c r="F2" s="9">
        <f>E2/1000*'Hypothèses'!B25</f>
        <v/>
      </c>
      <c r="G2" s="9">
        <f>C2*1*'Hypothèses'!B8</f>
        <v/>
      </c>
      <c r="H2" s="9">
        <f>'Hypothèses'!B9</f>
        <v/>
      </c>
      <c r="I2" s="9">
        <f>F2-G2-H2</f>
        <v/>
      </c>
      <c r="J2" s="9">
        <f>I2</f>
        <v/>
      </c>
    </row>
    <row r="3">
      <c r="A3" t="n">
        <v>2</v>
      </c>
      <c r="B3" s="8">
        <f>ROUND(B2*(1+'Hypothèses'!B4),0)</f>
        <v/>
      </c>
      <c r="C3" s="8">
        <f>ROUND(C2*'Hypothèses'!B28+(B3-B2),0)</f>
        <v/>
      </c>
      <c r="D3">
        <f>C3*'Hypothèses'!B26</f>
        <v/>
      </c>
      <c r="E3">
        <f>D3*'Hypothèses'!B27</f>
        <v/>
      </c>
      <c r="F3" s="9">
        <f>E3/1000*'Hypothèses'!B25</f>
        <v/>
      </c>
      <c r="G3" s="9">
        <f>C3*1*'Hypothèses'!B8</f>
        <v/>
      </c>
      <c r="H3" s="9">
        <f>'Hypothèses'!B9</f>
        <v/>
      </c>
      <c r="I3" s="9">
        <f>F3-G3-H3</f>
        <v/>
      </c>
      <c r="J3" s="9">
        <f>J2+I3</f>
        <v/>
      </c>
    </row>
    <row r="4">
      <c r="A4" t="n">
        <v>3</v>
      </c>
      <c r="B4" s="8">
        <f>ROUND(B3*(1+'Hypothèses'!B4),0)</f>
        <v/>
      </c>
      <c r="C4" s="8">
        <f>ROUND(C3*'Hypothèses'!B28+(B4-B3),0)</f>
        <v/>
      </c>
      <c r="D4">
        <f>C4*'Hypothèses'!B26</f>
        <v/>
      </c>
      <c r="E4">
        <f>D4*'Hypothèses'!B27</f>
        <v/>
      </c>
      <c r="F4" s="9">
        <f>E4/1000*'Hypothèses'!B25</f>
        <v/>
      </c>
      <c r="G4" s="9">
        <f>C4*1*'Hypothèses'!B8</f>
        <v/>
      </c>
      <c r="H4" s="9">
        <f>'Hypothèses'!B9</f>
        <v/>
      </c>
      <c r="I4" s="9">
        <f>F4-G4-H4</f>
        <v/>
      </c>
      <c r="J4" s="9">
        <f>J3+I4</f>
        <v/>
      </c>
    </row>
    <row r="5">
      <c r="A5" t="n">
        <v>4</v>
      </c>
      <c r="B5" s="8">
        <f>ROUND(B4*(1+'Hypothèses'!B4),0)</f>
        <v/>
      </c>
      <c r="C5" s="8">
        <f>ROUND(C4*'Hypothèses'!B28+(B5-B4),0)</f>
        <v/>
      </c>
      <c r="D5">
        <f>C5*'Hypothèses'!B26</f>
        <v/>
      </c>
      <c r="E5">
        <f>D5*'Hypothèses'!B27</f>
        <v/>
      </c>
      <c r="F5" s="9">
        <f>E5/1000*'Hypothèses'!B25</f>
        <v/>
      </c>
      <c r="G5" s="9">
        <f>C5*1*'Hypothèses'!B8</f>
        <v/>
      </c>
      <c r="H5" s="9">
        <f>'Hypothèses'!B9</f>
        <v/>
      </c>
      <c r="I5" s="9">
        <f>F5-G5-H5</f>
        <v/>
      </c>
      <c r="J5" s="9">
        <f>J4+I5</f>
        <v/>
      </c>
    </row>
    <row r="6">
      <c r="A6" t="n">
        <v>5</v>
      </c>
      <c r="B6" s="8">
        <f>ROUND(B5*(1+'Hypothèses'!B4),0)</f>
        <v/>
      </c>
      <c r="C6" s="8">
        <f>ROUND(C5*'Hypothèses'!B28+(B6-B5),0)</f>
        <v/>
      </c>
      <c r="D6">
        <f>C6*'Hypothèses'!B26</f>
        <v/>
      </c>
      <c r="E6">
        <f>D6*'Hypothèses'!B27</f>
        <v/>
      </c>
      <c r="F6" s="9">
        <f>E6/1000*'Hypothèses'!B25</f>
        <v/>
      </c>
      <c r="G6" s="9">
        <f>C6*1*'Hypothèses'!B8</f>
        <v/>
      </c>
      <c r="H6" s="9">
        <f>'Hypothèses'!B9</f>
        <v/>
      </c>
      <c r="I6" s="9">
        <f>F6-G6-H6</f>
        <v/>
      </c>
      <c r="J6" s="9">
        <f>J5+I6</f>
        <v/>
      </c>
    </row>
    <row r="7">
      <c r="A7" t="n">
        <v>6</v>
      </c>
      <c r="B7" s="8">
        <f>ROUND(B6*(1+'Hypothèses'!B4),0)</f>
        <v/>
      </c>
      <c r="C7" s="8">
        <f>ROUND(C6*'Hypothèses'!B28+(B7-B6),0)</f>
        <v/>
      </c>
      <c r="D7">
        <f>C7*'Hypothèses'!B26</f>
        <v/>
      </c>
      <c r="E7">
        <f>D7*'Hypothèses'!B27</f>
        <v/>
      </c>
      <c r="F7" s="9">
        <f>E7/1000*'Hypothèses'!B25</f>
        <v/>
      </c>
      <c r="G7" s="9">
        <f>C7*1*'Hypothèses'!B8</f>
        <v/>
      </c>
      <c r="H7" s="9">
        <f>'Hypothèses'!B9</f>
        <v/>
      </c>
      <c r="I7" s="9">
        <f>F7-G7-H7</f>
        <v/>
      </c>
      <c r="J7" s="9">
        <f>J6+I7</f>
        <v/>
      </c>
    </row>
    <row r="8">
      <c r="A8" t="n">
        <v>7</v>
      </c>
      <c r="B8" s="8">
        <f>ROUND(B7*(1+'Hypothèses'!B4),0)</f>
        <v/>
      </c>
      <c r="C8" s="8">
        <f>ROUND(C7*'Hypothèses'!B28+(B8-B7),0)</f>
        <v/>
      </c>
      <c r="D8">
        <f>C8*'Hypothèses'!B26</f>
        <v/>
      </c>
      <c r="E8">
        <f>D8*'Hypothèses'!B27</f>
        <v/>
      </c>
      <c r="F8" s="9">
        <f>E8/1000*'Hypothèses'!B25</f>
        <v/>
      </c>
      <c r="G8" s="9">
        <f>C8*1*'Hypothèses'!B8</f>
        <v/>
      </c>
      <c r="H8" s="9">
        <f>'Hypothèses'!B9</f>
        <v/>
      </c>
      <c r="I8" s="9">
        <f>F8-G8-H8</f>
        <v/>
      </c>
      <c r="J8" s="9">
        <f>J7+I8</f>
        <v/>
      </c>
    </row>
    <row r="9">
      <c r="A9" t="n">
        <v>8</v>
      </c>
      <c r="B9" s="8">
        <f>ROUND(B8*(1+'Hypothèses'!B4),0)</f>
        <v/>
      </c>
      <c r="C9" s="8">
        <f>ROUND(C8*'Hypothèses'!B28+(B9-B8),0)</f>
        <v/>
      </c>
      <c r="D9">
        <f>C9*'Hypothèses'!B26</f>
        <v/>
      </c>
      <c r="E9">
        <f>D9*'Hypothèses'!B27</f>
        <v/>
      </c>
      <c r="F9" s="9">
        <f>E9/1000*'Hypothèses'!B25</f>
        <v/>
      </c>
      <c r="G9" s="9">
        <f>C9*1*'Hypothèses'!B8</f>
        <v/>
      </c>
      <c r="H9" s="9">
        <f>'Hypothèses'!B9</f>
        <v/>
      </c>
      <c r="I9" s="9">
        <f>F9-G9-H9</f>
        <v/>
      </c>
      <c r="J9" s="9">
        <f>J8+I9</f>
        <v/>
      </c>
    </row>
    <row r="10">
      <c r="A10" t="n">
        <v>9</v>
      </c>
      <c r="B10" s="8">
        <f>ROUND(B9*(1+'Hypothèses'!B4),0)</f>
        <v/>
      </c>
      <c r="C10" s="8">
        <f>ROUND(C9*'Hypothèses'!B28+(B10-B9),0)</f>
        <v/>
      </c>
      <c r="D10">
        <f>C10*'Hypothèses'!B26</f>
        <v/>
      </c>
      <c r="E10">
        <f>D10*'Hypothèses'!B27</f>
        <v/>
      </c>
      <c r="F10" s="9">
        <f>E10/1000*'Hypothèses'!B25</f>
        <v/>
      </c>
      <c r="G10" s="9">
        <f>C10*1*'Hypothèses'!B8</f>
        <v/>
      </c>
      <c r="H10" s="9">
        <f>'Hypothèses'!B9</f>
        <v/>
      </c>
      <c r="I10" s="9">
        <f>F10-G10-H10</f>
        <v/>
      </c>
      <c r="J10" s="9">
        <f>J9+I10</f>
        <v/>
      </c>
    </row>
    <row r="11">
      <c r="A11" t="n">
        <v>10</v>
      </c>
      <c r="B11" s="8">
        <f>ROUND(B10*(1+'Hypothèses'!B4),0)</f>
        <v/>
      </c>
      <c r="C11" s="8">
        <f>ROUND(C10*'Hypothèses'!B28+(B11-B10),0)</f>
        <v/>
      </c>
      <c r="D11">
        <f>C11*'Hypothèses'!B26</f>
        <v/>
      </c>
      <c r="E11">
        <f>D11*'Hypothèses'!B27</f>
        <v/>
      </c>
      <c r="F11" s="9">
        <f>E11/1000*'Hypothèses'!B25</f>
        <v/>
      </c>
      <c r="G11" s="9">
        <f>C11*1*'Hypothèses'!B8</f>
        <v/>
      </c>
      <c r="H11" s="9">
        <f>'Hypothèses'!B9</f>
        <v/>
      </c>
      <c r="I11" s="9">
        <f>F11-G11-H11</f>
        <v/>
      </c>
      <c r="J11" s="9">
        <f>J10+I11</f>
        <v/>
      </c>
    </row>
    <row r="12">
      <c r="A12" t="n">
        <v>11</v>
      </c>
      <c r="B12" s="8">
        <f>ROUND(B11*(1+'Hypothèses'!B4),0)</f>
        <v/>
      </c>
      <c r="C12" s="8">
        <f>ROUND(C11*'Hypothèses'!B28+(B12-B11),0)</f>
        <v/>
      </c>
      <c r="D12">
        <f>C12*'Hypothèses'!B26</f>
        <v/>
      </c>
      <c r="E12">
        <f>D12*'Hypothèses'!B27</f>
        <v/>
      </c>
      <c r="F12" s="9">
        <f>E12/1000*'Hypothèses'!B25</f>
        <v/>
      </c>
      <c r="G12" s="9">
        <f>C12*1*'Hypothèses'!B8</f>
        <v/>
      </c>
      <c r="H12" s="9">
        <f>'Hypothèses'!B9</f>
        <v/>
      </c>
      <c r="I12" s="9">
        <f>F12-G12-H12</f>
        <v/>
      </c>
      <c r="J12" s="9">
        <f>J11+I12</f>
        <v/>
      </c>
    </row>
    <row r="13">
      <c r="A13" t="n">
        <v>12</v>
      </c>
      <c r="B13" s="8">
        <f>ROUND(B12*(1+'Hypothèses'!B4),0)</f>
        <v/>
      </c>
      <c r="C13" s="8">
        <f>ROUND(C12*'Hypothèses'!B28+(B13-B12),0)</f>
        <v/>
      </c>
      <c r="D13">
        <f>C13*'Hypothèses'!B26</f>
        <v/>
      </c>
      <c r="E13">
        <f>D13*'Hypothèses'!B27</f>
        <v/>
      </c>
      <c r="F13" s="9">
        <f>E13/1000*'Hypothèses'!B25</f>
        <v/>
      </c>
      <c r="G13" s="9">
        <f>C13*1*'Hypothèses'!B8</f>
        <v/>
      </c>
      <c r="H13" s="9">
        <f>'Hypothèses'!B9</f>
        <v/>
      </c>
      <c r="I13" s="9">
        <f>F13-G13-H13</f>
        <v/>
      </c>
      <c r="J13" s="9">
        <f>J12+I13</f>
        <v/>
      </c>
    </row>
    <row r="14">
      <c r="A14" t="n">
        <v>13</v>
      </c>
      <c r="B14" s="8">
        <f>ROUND(B13*(1+'Hypothèses'!B4),0)</f>
        <v/>
      </c>
      <c r="C14" s="8">
        <f>ROUND(C13*'Hypothèses'!B28+(B14-B13),0)</f>
        <v/>
      </c>
      <c r="D14">
        <f>C14*'Hypothèses'!B26</f>
        <v/>
      </c>
      <c r="E14">
        <f>D14*'Hypothèses'!B27</f>
        <v/>
      </c>
      <c r="F14" s="9">
        <f>E14/1000*'Hypothèses'!B25</f>
        <v/>
      </c>
      <c r="G14" s="9">
        <f>C14*1*'Hypothèses'!B8</f>
        <v/>
      </c>
      <c r="H14" s="9">
        <f>'Hypothèses'!B9</f>
        <v/>
      </c>
      <c r="I14" s="9">
        <f>F14-G14-H14</f>
        <v/>
      </c>
      <c r="J14" s="9">
        <f>J13+I14</f>
        <v/>
      </c>
    </row>
    <row r="15">
      <c r="A15" t="n">
        <v>14</v>
      </c>
      <c r="B15" s="8">
        <f>ROUND(B14*(1+'Hypothèses'!B4),0)</f>
        <v/>
      </c>
      <c r="C15" s="8">
        <f>ROUND(C14*'Hypothèses'!B28+(B15-B14),0)</f>
        <v/>
      </c>
      <c r="D15">
        <f>C15*'Hypothèses'!B26</f>
        <v/>
      </c>
      <c r="E15">
        <f>D15*'Hypothèses'!B27</f>
        <v/>
      </c>
      <c r="F15" s="9">
        <f>E15/1000*'Hypothèses'!B25</f>
        <v/>
      </c>
      <c r="G15" s="9">
        <f>C15*1*'Hypothèses'!B8</f>
        <v/>
      </c>
      <c r="H15" s="9">
        <f>'Hypothèses'!B9</f>
        <v/>
      </c>
      <c r="I15" s="9">
        <f>F15-G15-H15</f>
        <v/>
      </c>
      <c r="J15" s="9">
        <f>J14+I15</f>
        <v/>
      </c>
    </row>
    <row r="16">
      <c r="A16" t="n">
        <v>15</v>
      </c>
      <c r="B16" s="8">
        <f>ROUND(B15*(1+'Hypothèses'!B4),0)</f>
        <v/>
      </c>
      <c r="C16" s="8">
        <f>ROUND(C15*'Hypothèses'!B28+(B16-B15),0)</f>
        <v/>
      </c>
      <c r="D16">
        <f>C16*'Hypothèses'!B26</f>
        <v/>
      </c>
      <c r="E16">
        <f>D16*'Hypothèses'!B27</f>
        <v/>
      </c>
      <c r="F16" s="9">
        <f>E16/1000*'Hypothèses'!B25</f>
        <v/>
      </c>
      <c r="G16" s="9">
        <f>C16*1*'Hypothèses'!B8</f>
        <v/>
      </c>
      <c r="H16" s="9">
        <f>'Hypothèses'!B9</f>
        <v/>
      </c>
      <c r="I16" s="9">
        <f>F16-G16-H16</f>
        <v/>
      </c>
      <c r="J16" s="9">
        <f>J15+I16</f>
        <v/>
      </c>
    </row>
    <row r="17">
      <c r="A17" t="n">
        <v>16</v>
      </c>
      <c r="B17" s="8">
        <f>ROUND(B16*(1+'Hypothèses'!B4),0)</f>
        <v/>
      </c>
      <c r="C17" s="8">
        <f>ROUND(C16*'Hypothèses'!B28+(B17-B16),0)</f>
        <v/>
      </c>
      <c r="D17">
        <f>C17*'Hypothèses'!B26</f>
        <v/>
      </c>
      <c r="E17">
        <f>D17*'Hypothèses'!B27</f>
        <v/>
      </c>
      <c r="F17" s="9">
        <f>E17/1000*'Hypothèses'!B25</f>
        <v/>
      </c>
      <c r="G17" s="9">
        <f>C17*1*'Hypothèses'!B8</f>
        <v/>
      </c>
      <c r="H17" s="9">
        <f>'Hypothèses'!B9</f>
        <v/>
      </c>
      <c r="I17" s="9">
        <f>F17-G17-H17</f>
        <v/>
      </c>
      <c r="J17" s="9">
        <f>J16+I17</f>
        <v/>
      </c>
    </row>
    <row r="18">
      <c r="A18" t="n">
        <v>17</v>
      </c>
      <c r="B18" s="8">
        <f>ROUND(B17*(1+'Hypothèses'!B4),0)</f>
        <v/>
      </c>
      <c r="C18" s="8">
        <f>ROUND(C17*'Hypothèses'!B28+(B18-B17),0)</f>
        <v/>
      </c>
      <c r="D18">
        <f>C18*'Hypothèses'!B26</f>
        <v/>
      </c>
      <c r="E18">
        <f>D18*'Hypothèses'!B27</f>
        <v/>
      </c>
      <c r="F18" s="9">
        <f>E18/1000*'Hypothèses'!B25</f>
        <v/>
      </c>
      <c r="G18" s="9">
        <f>C18*1*'Hypothèses'!B8</f>
        <v/>
      </c>
      <c r="H18" s="9">
        <f>'Hypothèses'!B9</f>
        <v/>
      </c>
      <c r="I18" s="9">
        <f>F18-G18-H18</f>
        <v/>
      </c>
      <c r="J18" s="9">
        <f>J17+I18</f>
        <v/>
      </c>
    </row>
    <row r="19">
      <c r="A19" t="n">
        <v>18</v>
      </c>
      <c r="B19" s="8">
        <f>ROUND(B18*(1+'Hypothèses'!B4),0)</f>
        <v/>
      </c>
      <c r="C19" s="8">
        <f>ROUND(C18*'Hypothèses'!B28+(B19-B18),0)</f>
        <v/>
      </c>
      <c r="D19">
        <f>C19*'Hypothèses'!B26</f>
        <v/>
      </c>
      <c r="E19">
        <f>D19*'Hypothèses'!B27</f>
        <v/>
      </c>
      <c r="F19" s="9">
        <f>E19/1000*'Hypothèses'!B25</f>
        <v/>
      </c>
      <c r="G19" s="9">
        <f>C19*1*'Hypothèses'!B8</f>
        <v/>
      </c>
      <c r="H19" s="9">
        <f>'Hypothèses'!B9</f>
        <v/>
      </c>
      <c r="I19" s="9">
        <f>F19-G19-H19</f>
        <v/>
      </c>
      <c r="J19" s="9">
        <f>J18+I19</f>
        <v/>
      </c>
    </row>
    <row r="20">
      <c r="A20" t="n">
        <v>19</v>
      </c>
      <c r="B20" s="8">
        <f>ROUND(B19*(1+'Hypothèses'!B4),0)</f>
        <v/>
      </c>
      <c r="C20" s="8">
        <f>ROUND(C19*'Hypothèses'!B28+(B20-B19),0)</f>
        <v/>
      </c>
      <c r="D20">
        <f>C20*'Hypothèses'!B26</f>
        <v/>
      </c>
      <c r="E20">
        <f>D20*'Hypothèses'!B27</f>
        <v/>
      </c>
      <c r="F20" s="9">
        <f>E20/1000*'Hypothèses'!B25</f>
        <v/>
      </c>
      <c r="G20" s="9">
        <f>C20*1*'Hypothèses'!B8</f>
        <v/>
      </c>
      <c r="H20" s="9">
        <f>'Hypothèses'!B9</f>
        <v/>
      </c>
      <c r="I20" s="9">
        <f>F20-G20-H20</f>
        <v/>
      </c>
      <c r="J20" s="9">
        <f>J19+I20</f>
        <v/>
      </c>
    </row>
    <row r="21">
      <c r="A21" t="n">
        <v>20</v>
      </c>
      <c r="B21" s="8">
        <f>ROUND(B20*(1+'Hypothèses'!B4),0)</f>
        <v/>
      </c>
      <c r="C21" s="8">
        <f>ROUND(C20*'Hypothèses'!B28+(B21-B20),0)</f>
        <v/>
      </c>
      <c r="D21">
        <f>C21*'Hypothèses'!B26</f>
        <v/>
      </c>
      <c r="E21">
        <f>D21*'Hypothèses'!B27</f>
        <v/>
      </c>
      <c r="F21" s="9">
        <f>E21/1000*'Hypothèses'!B25</f>
        <v/>
      </c>
      <c r="G21" s="9">
        <f>C21*1*'Hypothèses'!B8</f>
        <v/>
      </c>
      <c r="H21" s="9">
        <f>'Hypothèses'!B9</f>
        <v/>
      </c>
      <c r="I21" s="9">
        <f>F21-G21-H21</f>
        <v/>
      </c>
      <c r="J21" s="9">
        <f>J20+I21</f>
        <v/>
      </c>
    </row>
    <row r="22">
      <c r="A22" t="n">
        <v>21</v>
      </c>
      <c r="B22" s="8">
        <f>ROUND(B21*(1+'Hypothèses'!B4),0)</f>
        <v/>
      </c>
      <c r="C22" s="8">
        <f>ROUND(C21*'Hypothèses'!B28+(B22-B21),0)</f>
        <v/>
      </c>
      <c r="D22">
        <f>C22*'Hypothèses'!B26</f>
        <v/>
      </c>
      <c r="E22">
        <f>D22*'Hypothèses'!B27</f>
        <v/>
      </c>
      <c r="F22" s="9">
        <f>E22/1000*'Hypothèses'!B25</f>
        <v/>
      </c>
      <c r="G22" s="9">
        <f>C22*1*'Hypothèses'!B8</f>
        <v/>
      </c>
      <c r="H22" s="9">
        <f>'Hypothèses'!B9</f>
        <v/>
      </c>
      <c r="I22" s="9">
        <f>F22-G22-H22</f>
        <v/>
      </c>
      <c r="J22" s="9">
        <f>J21+I22</f>
        <v/>
      </c>
    </row>
    <row r="23">
      <c r="A23" t="n">
        <v>22</v>
      </c>
      <c r="B23" s="8">
        <f>ROUND(B22*(1+'Hypothèses'!B4),0)</f>
        <v/>
      </c>
      <c r="C23" s="8">
        <f>ROUND(C22*'Hypothèses'!B28+(B23-B22),0)</f>
        <v/>
      </c>
      <c r="D23">
        <f>C23*'Hypothèses'!B26</f>
        <v/>
      </c>
      <c r="E23">
        <f>D23*'Hypothèses'!B27</f>
        <v/>
      </c>
      <c r="F23" s="9">
        <f>E23/1000*'Hypothèses'!B25</f>
        <v/>
      </c>
      <c r="G23" s="9">
        <f>C23*1*'Hypothèses'!B8</f>
        <v/>
      </c>
      <c r="H23" s="9">
        <f>'Hypothèses'!B9</f>
        <v/>
      </c>
      <c r="I23" s="9">
        <f>F23-G23-H23</f>
        <v/>
      </c>
      <c r="J23" s="9">
        <f>J22+I23</f>
        <v/>
      </c>
    </row>
    <row r="24">
      <c r="A24" t="n">
        <v>23</v>
      </c>
      <c r="B24" s="8">
        <f>ROUND(B23*(1+'Hypothèses'!B4),0)</f>
        <v/>
      </c>
      <c r="C24" s="8">
        <f>ROUND(C23*'Hypothèses'!B28+(B24-B23),0)</f>
        <v/>
      </c>
      <c r="D24">
        <f>C24*'Hypothèses'!B26</f>
        <v/>
      </c>
      <c r="E24">
        <f>D24*'Hypothèses'!B27</f>
        <v/>
      </c>
      <c r="F24" s="9">
        <f>E24/1000*'Hypothèses'!B25</f>
        <v/>
      </c>
      <c r="G24" s="9">
        <f>C24*1*'Hypothèses'!B8</f>
        <v/>
      </c>
      <c r="H24" s="9">
        <f>'Hypothèses'!B9</f>
        <v/>
      </c>
      <c r="I24" s="9">
        <f>F24-G24-H24</f>
        <v/>
      </c>
      <c r="J24" s="9">
        <f>J23+I24</f>
        <v/>
      </c>
    </row>
    <row r="25">
      <c r="A25" t="n">
        <v>24</v>
      </c>
      <c r="B25" s="8">
        <f>ROUND(B24*(1+'Hypothèses'!B4),0)</f>
        <v/>
      </c>
      <c r="C25" s="8">
        <f>ROUND(C24*'Hypothèses'!B28+(B25-B24),0)</f>
        <v/>
      </c>
      <c r="D25">
        <f>C25*'Hypothèses'!B26</f>
        <v/>
      </c>
      <c r="E25">
        <f>D25*'Hypothèses'!B27</f>
        <v/>
      </c>
      <c r="F25" s="9">
        <f>E25/1000*'Hypothèses'!B25</f>
        <v/>
      </c>
      <c r="G25" s="9">
        <f>C25*1*'Hypothèses'!B8</f>
        <v/>
      </c>
      <c r="H25" s="9">
        <f>'Hypothèses'!B9</f>
        <v/>
      </c>
      <c r="I25" s="9">
        <f>F25-G25-H25</f>
        <v/>
      </c>
      <c r="J25" s="9">
        <f>J24+I25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Mois</t>
        </is>
      </c>
      <c r="B1" s="2" t="inlineStr">
        <is>
          <t>Users totaux</t>
        </is>
      </c>
      <c r="C1" s="2" t="inlineStr">
        <is>
          <t>Users actifs payants</t>
        </is>
      </c>
      <c r="D1" s="2" t="inlineStr">
        <is>
          <t>Voyages achetés</t>
        </is>
      </c>
      <c r="E1" s="2" t="inlineStr">
        <is>
          <t>Revenu (€)</t>
        </is>
      </c>
      <c r="F1" s="2" t="inlineStr">
        <is>
          <t>Coût API (€)</t>
        </is>
      </c>
      <c r="G1" s="2" t="inlineStr">
        <is>
          <t>Coût serveur (€)</t>
        </is>
      </c>
      <c r="H1" s="2" t="inlineStr">
        <is>
          <t>Marge brute (€)</t>
        </is>
      </c>
      <c r="I1" s="2" t="inlineStr">
        <is>
          <t>Revenu cumulé (€)</t>
        </is>
      </c>
    </row>
    <row r="2">
      <c r="A2" t="n">
        <v>1</v>
      </c>
      <c r="B2" s="8">
        <f>'Hypothèses'!B3</f>
        <v/>
      </c>
      <c r="C2" s="8">
        <f>ROUND(B2*'Hypothèses'!B33,0)</f>
        <v/>
      </c>
      <c r="D2" s="8">
        <f>ROUND(C2*'Hypothèses'!B32,0)</f>
        <v/>
      </c>
      <c r="E2" s="9">
        <f>D2*'Hypothèses'!B31</f>
        <v/>
      </c>
      <c r="F2" s="9">
        <f>D2*'Hypothèses'!B8</f>
        <v/>
      </c>
      <c r="G2" s="9">
        <f>'Hypothèses'!B9</f>
        <v/>
      </c>
      <c r="H2" s="9">
        <f>E2-F2-G2</f>
        <v/>
      </c>
      <c r="I2" s="9">
        <f>H2</f>
        <v/>
      </c>
    </row>
    <row r="3">
      <c r="A3" t="n">
        <v>2</v>
      </c>
      <c r="B3" s="8">
        <f>ROUND(B2*(1+'Hypothèses'!B4),0)</f>
        <v/>
      </c>
      <c r="C3" s="8">
        <f>ROUND((C2*'Hypothèses'!B34+(B3-B2)*'Hypothèses'!B33),0)</f>
        <v/>
      </c>
      <c r="D3" s="8">
        <f>ROUND(C3*'Hypothèses'!B32,0)</f>
        <v/>
      </c>
      <c r="E3" s="9">
        <f>D3*'Hypothèses'!B31</f>
        <v/>
      </c>
      <c r="F3" s="9">
        <f>D3*'Hypothèses'!B8</f>
        <v/>
      </c>
      <c r="G3" s="9">
        <f>'Hypothèses'!B9</f>
        <v/>
      </c>
      <c r="H3" s="9">
        <f>E3-F3-G3</f>
        <v/>
      </c>
      <c r="I3" s="9">
        <f>I2+H3</f>
        <v/>
      </c>
    </row>
    <row r="4">
      <c r="A4" t="n">
        <v>3</v>
      </c>
      <c r="B4" s="8">
        <f>ROUND(B3*(1+'Hypothèses'!B4),0)</f>
        <v/>
      </c>
      <c r="C4" s="8">
        <f>ROUND((C3*'Hypothèses'!B34+(B4-B3)*'Hypothèses'!B33),0)</f>
        <v/>
      </c>
      <c r="D4" s="8">
        <f>ROUND(C4*'Hypothèses'!B32,0)</f>
        <v/>
      </c>
      <c r="E4" s="9">
        <f>D4*'Hypothèses'!B31</f>
        <v/>
      </c>
      <c r="F4" s="9">
        <f>D4*'Hypothèses'!B8</f>
        <v/>
      </c>
      <c r="G4" s="9">
        <f>'Hypothèses'!B9</f>
        <v/>
      </c>
      <c r="H4" s="9">
        <f>E4-F4-G4</f>
        <v/>
      </c>
      <c r="I4" s="9">
        <f>I3+H4</f>
        <v/>
      </c>
    </row>
    <row r="5">
      <c r="A5" t="n">
        <v>4</v>
      </c>
      <c r="B5" s="8">
        <f>ROUND(B4*(1+'Hypothèses'!B4),0)</f>
        <v/>
      </c>
      <c r="C5" s="8">
        <f>ROUND((C4*'Hypothèses'!B34+(B5-B4)*'Hypothèses'!B33),0)</f>
        <v/>
      </c>
      <c r="D5" s="8">
        <f>ROUND(C5*'Hypothèses'!B32,0)</f>
        <v/>
      </c>
      <c r="E5" s="9">
        <f>D5*'Hypothèses'!B31</f>
        <v/>
      </c>
      <c r="F5" s="9">
        <f>D5*'Hypothèses'!B8</f>
        <v/>
      </c>
      <c r="G5" s="9">
        <f>'Hypothèses'!B9</f>
        <v/>
      </c>
      <c r="H5" s="9">
        <f>E5-F5-G5</f>
        <v/>
      </c>
      <c r="I5" s="9">
        <f>I4+H5</f>
        <v/>
      </c>
    </row>
    <row r="6">
      <c r="A6" t="n">
        <v>5</v>
      </c>
      <c r="B6" s="8">
        <f>ROUND(B5*(1+'Hypothèses'!B4),0)</f>
        <v/>
      </c>
      <c r="C6" s="8">
        <f>ROUND((C5*'Hypothèses'!B34+(B6-B5)*'Hypothèses'!B33),0)</f>
        <v/>
      </c>
      <c r="D6" s="8">
        <f>ROUND(C6*'Hypothèses'!B32,0)</f>
        <v/>
      </c>
      <c r="E6" s="9">
        <f>D6*'Hypothèses'!B31</f>
        <v/>
      </c>
      <c r="F6" s="9">
        <f>D6*'Hypothèses'!B8</f>
        <v/>
      </c>
      <c r="G6" s="9">
        <f>'Hypothèses'!B9</f>
        <v/>
      </c>
      <c r="H6" s="9">
        <f>E6-F6-G6</f>
        <v/>
      </c>
      <c r="I6" s="9">
        <f>I5+H6</f>
        <v/>
      </c>
    </row>
    <row r="7">
      <c r="A7" t="n">
        <v>6</v>
      </c>
      <c r="B7" s="8">
        <f>ROUND(B6*(1+'Hypothèses'!B4),0)</f>
        <v/>
      </c>
      <c r="C7" s="8">
        <f>ROUND((C6*'Hypothèses'!B34+(B7-B6)*'Hypothèses'!B33),0)</f>
        <v/>
      </c>
      <c r="D7" s="8">
        <f>ROUND(C7*'Hypothèses'!B32,0)</f>
        <v/>
      </c>
      <c r="E7" s="9">
        <f>D7*'Hypothèses'!B31</f>
        <v/>
      </c>
      <c r="F7" s="9">
        <f>D7*'Hypothèses'!B8</f>
        <v/>
      </c>
      <c r="G7" s="9">
        <f>'Hypothèses'!B9</f>
        <v/>
      </c>
      <c r="H7" s="9">
        <f>E7-F7-G7</f>
        <v/>
      </c>
      <c r="I7" s="9">
        <f>I6+H7</f>
        <v/>
      </c>
    </row>
    <row r="8">
      <c r="A8" t="n">
        <v>7</v>
      </c>
      <c r="B8" s="8">
        <f>ROUND(B7*(1+'Hypothèses'!B4),0)</f>
        <v/>
      </c>
      <c r="C8" s="8">
        <f>ROUND((C7*'Hypothèses'!B34+(B8-B7)*'Hypothèses'!B33),0)</f>
        <v/>
      </c>
      <c r="D8" s="8">
        <f>ROUND(C8*'Hypothèses'!B32,0)</f>
        <v/>
      </c>
      <c r="E8" s="9">
        <f>D8*'Hypothèses'!B31</f>
        <v/>
      </c>
      <c r="F8" s="9">
        <f>D8*'Hypothèses'!B8</f>
        <v/>
      </c>
      <c r="G8" s="9">
        <f>'Hypothèses'!B9</f>
        <v/>
      </c>
      <c r="H8" s="9">
        <f>E8-F8-G8</f>
        <v/>
      </c>
      <c r="I8" s="9">
        <f>I7+H8</f>
        <v/>
      </c>
    </row>
    <row r="9">
      <c r="A9" t="n">
        <v>8</v>
      </c>
      <c r="B9" s="8">
        <f>ROUND(B8*(1+'Hypothèses'!B4),0)</f>
        <v/>
      </c>
      <c r="C9" s="8">
        <f>ROUND((C8*'Hypothèses'!B34+(B9-B8)*'Hypothèses'!B33),0)</f>
        <v/>
      </c>
      <c r="D9" s="8">
        <f>ROUND(C9*'Hypothèses'!B32,0)</f>
        <v/>
      </c>
      <c r="E9" s="9">
        <f>D9*'Hypothèses'!B31</f>
        <v/>
      </c>
      <c r="F9" s="9">
        <f>D9*'Hypothèses'!B8</f>
        <v/>
      </c>
      <c r="G9" s="9">
        <f>'Hypothèses'!B9</f>
        <v/>
      </c>
      <c r="H9" s="9">
        <f>E9-F9-G9</f>
        <v/>
      </c>
      <c r="I9" s="9">
        <f>I8+H9</f>
        <v/>
      </c>
    </row>
    <row r="10">
      <c r="A10" t="n">
        <v>9</v>
      </c>
      <c r="B10" s="8">
        <f>ROUND(B9*(1+'Hypothèses'!B4),0)</f>
        <v/>
      </c>
      <c r="C10" s="8">
        <f>ROUND((C9*'Hypothèses'!B34+(B10-B9)*'Hypothèses'!B33),0)</f>
        <v/>
      </c>
      <c r="D10" s="8">
        <f>ROUND(C10*'Hypothèses'!B32,0)</f>
        <v/>
      </c>
      <c r="E10" s="9">
        <f>D10*'Hypothèses'!B31</f>
        <v/>
      </c>
      <c r="F10" s="9">
        <f>D10*'Hypothèses'!B8</f>
        <v/>
      </c>
      <c r="G10" s="9">
        <f>'Hypothèses'!B9</f>
        <v/>
      </c>
      <c r="H10" s="9">
        <f>E10-F10-G10</f>
        <v/>
      </c>
      <c r="I10" s="9">
        <f>I9+H10</f>
        <v/>
      </c>
    </row>
    <row r="11">
      <c r="A11" t="n">
        <v>10</v>
      </c>
      <c r="B11" s="8">
        <f>ROUND(B10*(1+'Hypothèses'!B4),0)</f>
        <v/>
      </c>
      <c r="C11" s="8">
        <f>ROUND((C10*'Hypothèses'!B34+(B11-B10)*'Hypothèses'!B33),0)</f>
        <v/>
      </c>
      <c r="D11" s="8">
        <f>ROUND(C11*'Hypothèses'!B32,0)</f>
        <v/>
      </c>
      <c r="E11" s="9">
        <f>D11*'Hypothèses'!B31</f>
        <v/>
      </c>
      <c r="F11" s="9">
        <f>D11*'Hypothèses'!B8</f>
        <v/>
      </c>
      <c r="G11" s="9">
        <f>'Hypothèses'!B9</f>
        <v/>
      </c>
      <c r="H11" s="9">
        <f>E11-F11-G11</f>
        <v/>
      </c>
      <c r="I11" s="9">
        <f>I10+H11</f>
        <v/>
      </c>
    </row>
    <row r="12">
      <c r="A12" t="n">
        <v>11</v>
      </c>
      <c r="B12" s="8">
        <f>ROUND(B11*(1+'Hypothèses'!B4),0)</f>
        <v/>
      </c>
      <c r="C12" s="8">
        <f>ROUND((C11*'Hypothèses'!B34+(B12-B11)*'Hypothèses'!B33),0)</f>
        <v/>
      </c>
      <c r="D12" s="8">
        <f>ROUND(C12*'Hypothèses'!B32,0)</f>
        <v/>
      </c>
      <c r="E12" s="9">
        <f>D12*'Hypothèses'!B31</f>
        <v/>
      </c>
      <c r="F12" s="9">
        <f>D12*'Hypothèses'!B8</f>
        <v/>
      </c>
      <c r="G12" s="9">
        <f>'Hypothèses'!B9</f>
        <v/>
      </c>
      <c r="H12" s="9">
        <f>E12-F12-G12</f>
        <v/>
      </c>
      <c r="I12" s="9">
        <f>I11+H12</f>
        <v/>
      </c>
    </row>
    <row r="13">
      <c r="A13" t="n">
        <v>12</v>
      </c>
      <c r="B13" s="8">
        <f>ROUND(B12*(1+'Hypothèses'!B4),0)</f>
        <v/>
      </c>
      <c r="C13" s="8">
        <f>ROUND((C12*'Hypothèses'!B34+(B13-B12)*'Hypothèses'!B33),0)</f>
        <v/>
      </c>
      <c r="D13" s="8">
        <f>ROUND(C13*'Hypothèses'!B32,0)</f>
        <v/>
      </c>
      <c r="E13" s="9">
        <f>D13*'Hypothèses'!B31</f>
        <v/>
      </c>
      <c r="F13" s="9">
        <f>D13*'Hypothèses'!B8</f>
        <v/>
      </c>
      <c r="G13" s="9">
        <f>'Hypothèses'!B9</f>
        <v/>
      </c>
      <c r="H13" s="9">
        <f>E13-F13-G13</f>
        <v/>
      </c>
      <c r="I13" s="9">
        <f>I12+H13</f>
        <v/>
      </c>
    </row>
    <row r="14">
      <c r="A14" t="n">
        <v>13</v>
      </c>
      <c r="B14" s="8">
        <f>ROUND(B13*(1+'Hypothèses'!B4),0)</f>
        <v/>
      </c>
      <c r="C14" s="8">
        <f>ROUND((C13*'Hypothèses'!B34+(B14-B13)*'Hypothèses'!B33),0)</f>
        <v/>
      </c>
      <c r="D14" s="8">
        <f>ROUND(C14*'Hypothèses'!B32,0)</f>
        <v/>
      </c>
      <c r="E14" s="9">
        <f>D14*'Hypothèses'!B31</f>
        <v/>
      </c>
      <c r="F14" s="9">
        <f>D14*'Hypothèses'!B8</f>
        <v/>
      </c>
      <c r="G14" s="9">
        <f>'Hypothèses'!B9</f>
        <v/>
      </c>
      <c r="H14" s="9">
        <f>E14-F14-G14</f>
        <v/>
      </c>
      <c r="I14" s="9">
        <f>I13+H14</f>
        <v/>
      </c>
    </row>
    <row r="15">
      <c r="A15" t="n">
        <v>14</v>
      </c>
      <c r="B15" s="8">
        <f>ROUND(B14*(1+'Hypothèses'!B4),0)</f>
        <v/>
      </c>
      <c r="C15" s="8">
        <f>ROUND((C14*'Hypothèses'!B34+(B15-B14)*'Hypothèses'!B33),0)</f>
        <v/>
      </c>
      <c r="D15" s="8">
        <f>ROUND(C15*'Hypothèses'!B32,0)</f>
        <v/>
      </c>
      <c r="E15" s="9">
        <f>D15*'Hypothèses'!B31</f>
        <v/>
      </c>
      <c r="F15" s="9">
        <f>D15*'Hypothèses'!B8</f>
        <v/>
      </c>
      <c r="G15" s="9">
        <f>'Hypothèses'!B9</f>
        <v/>
      </c>
      <c r="H15" s="9">
        <f>E15-F15-G15</f>
        <v/>
      </c>
      <c r="I15" s="9">
        <f>I14+H15</f>
        <v/>
      </c>
    </row>
    <row r="16">
      <c r="A16" t="n">
        <v>15</v>
      </c>
      <c r="B16" s="8">
        <f>ROUND(B15*(1+'Hypothèses'!B4),0)</f>
        <v/>
      </c>
      <c r="C16" s="8">
        <f>ROUND((C15*'Hypothèses'!B34+(B16-B15)*'Hypothèses'!B33),0)</f>
        <v/>
      </c>
      <c r="D16" s="8">
        <f>ROUND(C16*'Hypothèses'!B32,0)</f>
        <v/>
      </c>
      <c r="E16" s="9">
        <f>D16*'Hypothèses'!B31</f>
        <v/>
      </c>
      <c r="F16" s="9">
        <f>D16*'Hypothèses'!B8</f>
        <v/>
      </c>
      <c r="G16" s="9">
        <f>'Hypothèses'!B9</f>
        <v/>
      </c>
      <c r="H16" s="9">
        <f>E16-F16-G16</f>
        <v/>
      </c>
      <c r="I16" s="9">
        <f>I15+H16</f>
        <v/>
      </c>
    </row>
    <row r="17">
      <c r="A17" t="n">
        <v>16</v>
      </c>
      <c r="B17" s="8">
        <f>ROUND(B16*(1+'Hypothèses'!B4),0)</f>
        <v/>
      </c>
      <c r="C17" s="8">
        <f>ROUND((C16*'Hypothèses'!B34+(B17-B16)*'Hypothèses'!B33),0)</f>
        <v/>
      </c>
      <c r="D17" s="8">
        <f>ROUND(C17*'Hypothèses'!B32,0)</f>
        <v/>
      </c>
      <c r="E17" s="9">
        <f>D17*'Hypothèses'!B31</f>
        <v/>
      </c>
      <c r="F17" s="9">
        <f>D17*'Hypothèses'!B8</f>
        <v/>
      </c>
      <c r="G17" s="9">
        <f>'Hypothèses'!B9</f>
        <v/>
      </c>
      <c r="H17" s="9">
        <f>E17-F17-G17</f>
        <v/>
      </c>
      <c r="I17" s="9">
        <f>I16+H17</f>
        <v/>
      </c>
    </row>
    <row r="18">
      <c r="A18" t="n">
        <v>17</v>
      </c>
      <c r="B18" s="8">
        <f>ROUND(B17*(1+'Hypothèses'!B4),0)</f>
        <v/>
      </c>
      <c r="C18" s="8">
        <f>ROUND((C17*'Hypothèses'!B34+(B18-B17)*'Hypothèses'!B33),0)</f>
        <v/>
      </c>
      <c r="D18" s="8">
        <f>ROUND(C18*'Hypothèses'!B32,0)</f>
        <v/>
      </c>
      <c r="E18" s="9">
        <f>D18*'Hypothèses'!B31</f>
        <v/>
      </c>
      <c r="F18" s="9">
        <f>D18*'Hypothèses'!B8</f>
        <v/>
      </c>
      <c r="G18" s="9">
        <f>'Hypothèses'!B9</f>
        <v/>
      </c>
      <c r="H18" s="9">
        <f>E18-F18-G18</f>
        <v/>
      </c>
      <c r="I18" s="9">
        <f>I17+H18</f>
        <v/>
      </c>
    </row>
    <row r="19">
      <c r="A19" t="n">
        <v>18</v>
      </c>
      <c r="B19" s="8">
        <f>ROUND(B18*(1+'Hypothèses'!B4),0)</f>
        <v/>
      </c>
      <c r="C19" s="8">
        <f>ROUND((C18*'Hypothèses'!B34+(B19-B18)*'Hypothèses'!B33),0)</f>
        <v/>
      </c>
      <c r="D19" s="8">
        <f>ROUND(C19*'Hypothèses'!B32,0)</f>
        <v/>
      </c>
      <c r="E19" s="9">
        <f>D19*'Hypothèses'!B31</f>
        <v/>
      </c>
      <c r="F19" s="9">
        <f>D19*'Hypothèses'!B8</f>
        <v/>
      </c>
      <c r="G19" s="9">
        <f>'Hypothèses'!B9</f>
        <v/>
      </c>
      <c r="H19" s="9">
        <f>E19-F19-G19</f>
        <v/>
      </c>
      <c r="I19" s="9">
        <f>I18+H19</f>
        <v/>
      </c>
    </row>
    <row r="20">
      <c r="A20" t="n">
        <v>19</v>
      </c>
      <c r="B20" s="8">
        <f>ROUND(B19*(1+'Hypothèses'!B4),0)</f>
        <v/>
      </c>
      <c r="C20" s="8">
        <f>ROUND((C19*'Hypothèses'!B34+(B20-B19)*'Hypothèses'!B33),0)</f>
        <v/>
      </c>
      <c r="D20" s="8">
        <f>ROUND(C20*'Hypothèses'!B32,0)</f>
        <v/>
      </c>
      <c r="E20" s="9">
        <f>D20*'Hypothèses'!B31</f>
        <v/>
      </c>
      <c r="F20" s="9">
        <f>D20*'Hypothèses'!B8</f>
        <v/>
      </c>
      <c r="G20" s="9">
        <f>'Hypothèses'!B9</f>
        <v/>
      </c>
      <c r="H20" s="9">
        <f>E20-F20-G20</f>
        <v/>
      </c>
      <c r="I20" s="9">
        <f>I19+H20</f>
        <v/>
      </c>
    </row>
    <row r="21">
      <c r="A21" t="n">
        <v>20</v>
      </c>
      <c r="B21" s="8">
        <f>ROUND(B20*(1+'Hypothèses'!B4),0)</f>
        <v/>
      </c>
      <c r="C21" s="8">
        <f>ROUND((C20*'Hypothèses'!B34+(B21-B20)*'Hypothèses'!B33),0)</f>
        <v/>
      </c>
      <c r="D21" s="8">
        <f>ROUND(C21*'Hypothèses'!B32,0)</f>
        <v/>
      </c>
      <c r="E21" s="9">
        <f>D21*'Hypothèses'!B31</f>
        <v/>
      </c>
      <c r="F21" s="9">
        <f>D21*'Hypothèses'!B8</f>
        <v/>
      </c>
      <c r="G21" s="9">
        <f>'Hypothèses'!B9</f>
        <v/>
      </c>
      <c r="H21" s="9">
        <f>E21-F21-G21</f>
        <v/>
      </c>
      <c r="I21" s="9">
        <f>I20+H21</f>
        <v/>
      </c>
    </row>
    <row r="22">
      <c r="A22" t="n">
        <v>21</v>
      </c>
      <c r="B22" s="8">
        <f>ROUND(B21*(1+'Hypothèses'!B4),0)</f>
        <v/>
      </c>
      <c r="C22" s="8">
        <f>ROUND((C21*'Hypothèses'!B34+(B22-B21)*'Hypothèses'!B33),0)</f>
        <v/>
      </c>
      <c r="D22" s="8">
        <f>ROUND(C22*'Hypothèses'!B32,0)</f>
        <v/>
      </c>
      <c r="E22" s="9">
        <f>D22*'Hypothèses'!B31</f>
        <v/>
      </c>
      <c r="F22" s="9">
        <f>D22*'Hypothèses'!B8</f>
        <v/>
      </c>
      <c r="G22" s="9">
        <f>'Hypothèses'!B9</f>
        <v/>
      </c>
      <c r="H22" s="9">
        <f>E22-F22-G22</f>
        <v/>
      </c>
      <c r="I22" s="9">
        <f>I21+H22</f>
        <v/>
      </c>
    </row>
    <row r="23">
      <c r="A23" t="n">
        <v>22</v>
      </c>
      <c r="B23" s="8">
        <f>ROUND(B22*(1+'Hypothèses'!B4),0)</f>
        <v/>
      </c>
      <c r="C23" s="8">
        <f>ROUND((C22*'Hypothèses'!B34+(B23-B22)*'Hypothèses'!B33),0)</f>
        <v/>
      </c>
      <c r="D23" s="8">
        <f>ROUND(C23*'Hypothèses'!B32,0)</f>
        <v/>
      </c>
      <c r="E23" s="9">
        <f>D23*'Hypothèses'!B31</f>
        <v/>
      </c>
      <c r="F23" s="9">
        <f>D23*'Hypothèses'!B8</f>
        <v/>
      </c>
      <c r="G23" s="9">
        <f>'Hypothèses'!B9</f>
        <v/>
      </c>
      <c r="H23" s="9">
        <f>E23-F23-G23</f>
        <v/>
      </c>
      <c r="I23" s="9">
        <f>I22+H23</f>
        <v/>
      </c>
    </row>
    <row r="24">
      <c r="A24" t="n">
        <v>23</v>
      </c>
      <c r="B24" s="8">
        <f>ROUND(B23*(1+'Hypothèses'!B4),0)</f>
        <v/>
      </c>
      <c r="C24" s="8">
        <f>ROUND((C23*'Hypothèses'!B34+(B24-B23)*'Hypothèses'!B33),0)</f>
        <v/>
      </c>
      <c r="D24" s="8">
        <f>ROUND(C24*'Hypothèses'!B32,0)</f>
        <v/>
      </c>
      <c r="E24" s="9">
        <f>D24*'Hypothèses'!B31</f>
        <v/>
      </c>
      <c r="F24" s="9">
        <f>D24*'Hypothèses'!B8</f>
        <v/>
      </c>
      <c r="G24" s="9">
        <f>'Hypothèses'!B9</f>
        <v/>
      </c>
      <c r="H24" s="9">
        <f>E24-F24-G24</f>
        <v/>
      </c>
      <c r="I24" s="9">
        <f>I23+H24</f>
        <v/>
      </c>
    </row>
    <row r="25">
      <c r="A25" t="n">
        <v>24</v>
      </c>
      <c r="B25" s="8">
        <f>ROUND(B24*(1+'Hypothèses'!B4),0)</f>
        <v/>
      </c>
      <c r="C25" s="8">
        <f>ROUND((C24*'Hypothèses'!B34+(B25-B24)*'Hypothèses'!B33),0)</f>
        <v/>
      </c>
      <c r="D25" s="8">
        <f>ROUND(C25*'Hypothèses'!B32,0)</f>
        <v/>
      </c>
      <c r="E25" s="9">
        <f>D25*'Hypothèses'!B31</f>
        <v/>
      </c>
      <c r="F25" s="9">
        <f>D25*'Hypothèses'!B8</f>
        <v/>
      </c>
      <c r="G25" s="9">
        <f>'Hypothèses'!B9</f>
        <v/>
      </c>
      <c r="H25" s="9">
        <f>E25-F25-G25</f>
        <v/>
      </c>
      <c r="I25" s="9">
        <f>I24+H25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Mois</t>
        </is>
      </c>
      <c r="B1" s="2" t="inlineStr">
        <is>
          <t>Users totaux</t>
        </is>
      </c>
      <c r="C1" s="2" t="inlineStr">
        <is>
          <t>Users free</t>
        </is>
      </c>
      <c r="D1" s="2" t="inlineStr">
        <is>
          <t>Users pro</t>
        </is>
      </c>
      <c r="E1" s="2" t="inlineStr">
        <is>
          <t>Revenu abo (€)</t>
        </is>
      </c>
      <c r="F1" s="2" t="inlineStr">
        <is>
          <t>Revenu pub (€)</t>
        </is>
      </c>
      <c r="G1" s="2" t="inlineStr">
        <is>
          <t>Revenu total (€)</t>
        </is>
      </c>
      <c r="H1" s="2" t="inlineStr">
        <is>
          <t>Coût API (€)</t>
        </is>
      </c>
      <c r="I1" s="2" t="inlineStr">
        <is>
          <t>Coût serveur (€)</t>
        </is>
      </c>
      <c r="J1" s="2" t="inlineStr">
        <is>
          <t>Marge brute (€)</t>
        </is>
      </c>
      <c r="K1" s="2" t="inlineStr">
        <is>
          <t>Revenu cumulé (€)</t>
        </is>
      </c>
    </row>
    <row r="2">
      <c r="A2" t="n">
        <v>1</v>
      </c>
      <c r="B2" s="8">
        <f>'Hypothèses'!B3</f>
        <v/>
      </c>
      <c r="C2" s="8">
        <f>B2-D2</f>
        <v/>
      </c>
      <c r="D2" s="8">
        <f>ROUND(B2*'Hypothèses'!B37,0)</f>
        <v/>
      </c>
      <c r="E2" s="9">
        <f>D2*'Hypothèses'!B39/12</f>
        <v/>
      </c>
      <c r="F2" s="9">
        <f>C2*'Hypothèses'!B41*'Hypothèses'!B42/1000*'Hypothèses'!B40</f>
        <v/>
      </c>
      <c r="G2" s="9">
        <f>E2+F2</f>
        <v/>
      </c>
      <c r="H2" s="9">
        <f>(C2*1+D2*3)*'Hypothèses'!B8</f>
        <v/>
      </c>
      <c r="I2" s="9">
        <f>'Hypothèses'!B9</f>
        <v/>
      </c>
      <c r="J2" s="9">
        <f>G2-H2-I2</f>
        <v/>
      </c>
      <c r="K2" s="9">
        <f>J2</f>
        <v/>
      </c>
    </row>
    <row r="3">
      <c r="A3" t="n">
        <v>2</v>
      </c>
      <c r="B3" s="8">
        <f>ROUND(B2*(1+'Hypothèses'!B4),0)</f>
        <v/>
      </c>
      <c r="C3" s="8">
        <f>B3-D3</f>
        <v/>
      </c>
      <c r="D3" s="8">
        <f>MAX(0,ROUND(D2*(1-'Hypothèses'!B38)+(B3-B2)*'Hypothèses'!B37,0))</f>
        <v/>
      </c>
      <c r="E3" s="9">
        <f>D3*'Hypothèses'!B39/12</f>
        <v/>
      </c>
      <c r="F3" s="9">
        <f>C3*'Hypothèses'!B41*'Hypothèses'!B42/1000*'Hypothèses'!B40</f>
        <v/>
      </c>
      <c r="G3" s="9">
        <f>E3+F3</f>
        <v/>
      </c>
      <c r="H3" s="9">
        <f>(C3*1+D3*3)*'Hypothèses'!B8</f>
        <v/>
      </c>
      <c r="I3" s="9">
        <f>'Hypothèses'!B9</f>
        <v/>
      </c>
      <c r="J3" s="9">
        <f>G3-H3-I3</f>
        <v/>
      </c>
      <c r="K3" s="9">
        <f>K2+J3</f>
        <v/>
      </c>
    </row>
    <row r="4">
      <c r="A4" t="n">
        <v>3</v>
      </c>
      <c r="B4" s="8">
        <f>ROUND(B3*(1+'Hypothèses'!B4),0)</f>
        <v/>
      </c>
      <c r="C4" s="8">
        <f>B4-D4</f>
        <v/>
      </c>
      <c r="D4" s="8">
        <f>MAX(0,ROUND(D3*(1-'Hypothèses'!B38)+(B4-B3)*'Hypothèses'!B37,0))</f>
        <v/>
      </c>
      <c r="E4" s="9">
        <f>D4*'Hypothèses'!B39/12</f>
        <v/>
      </c>
      <c r="F4" s="9">
        <f>C4*'Hypothèses'!B41*'Hypothèses'!B42/1000*'Hypothèses'!B40</f>
        <v/>
      </c>
      <c r="G4" s="9">
        <f>E4+F4</f>
        <v/>
      </c>
      <c r="H4" s="9">
        <f>(C4*1+D4*3)*'Hypothèses'!B8</f>
        <v/>
      </c>
      <c r="I4" s="9">
        <f>'Hypothèses'!B9</f>
        <v/>
      </c>
      <c r="J4" s="9">
        <f>G4-H4-I4</f>
        <v/>
      </c>
      <c r="K4" s="9">
        <f>K3+J4</f>
        <v/>
      </c>
    </row>
    <row r="5">
      <c r="A5" t="n">
        <v>4</v>
      </c>
      <c r="B5" s="8">
        <f>ROUND(B4*(1+'Hypothèses'!B4),0)</f>
        <v/>
      </c>
      <c r="C5" s="8">
        <f>B5-D5</f>
        <v/>
      </c>
      <c r="D5" s="8">
        <f>MAX(0,ROUND(D4*(1-'Hypothèses'!B38)+(B5-B4)*'Hypothèses'!B37,0))</f>
        <v/>
      </c>
      <c r="E5" s="9">
        <f>D5*'Hypothèses'!B39/12</f>
        <v/>
      </c>
      <c r="F5" s="9">
        <f>C5*'Hypothèses'!B41*'Hypothèses'!B42/1000*'Hypothèses'!B40</f>
        <v/>
      </c>
      <c r="G5" s="9">
        <f>E5+F5</f>
        <v/>
      </c>
      <c r="H5" s="9">
        <f>(C5*1+D5*3)*'Hypothèses'!B8</f>
        <v/>
      </c>
      <c r="I5" s="9">
        <f>'Hypothèses'!B9</f>
        <v/>
      </c>
      <c r="J5" s="9">
        <f>G5-H5-I5</f>
        <v/>
      </c>
      <c r="K5" s="9">
        <f>K4+J5</f>
        <v/>
      </c>
    </row>
    <row r="6">
      <c r="A6" t="n">
        <v>5</v>
      </c>
      <c r="B6" s="8">
        <f>ROUND(B5*(1+'Hypothèses'!B4),0)</f>
        <v/>
      </c>
      <c r="C6" s="8">
        <f>B6-D6</f>
        <v/>
      </c>
      <c r="D6" s="8">
        <f>MAX(0,ROUND(D5*(1-'Hypothèses'!B38)+(B6-B5)*'Hypothèses'!B37,0))</f>
        <v/>
      </c>
      <c r="E6" s="9">
        <f>D6*'Hypothèses'!B39/12</f>
        <v/>
      </c>
      <c r="F6" s="9">
        <f>C6*'Hypothèses'!B41*'Hypothèses'!B42/1000*'Hypothèses'!B40</f>
        <v/>
      </c>
      <c r="G6" s="9">
        <f>E6+F6</f>
        <v/>
      </c>
      <c r="H6" s="9">
        <f>(C6*1+D6*3)*'Hypothèses'!B8</f>
        <v/>
      </c>
      <c r="I6" s="9">
        <f>'Hypothèses'!B9</f>
        <v/>
      </c>
      <c r="J6" s="9">
        <f>G6-H6-I6</f>
        <v/>
      </c>
      <c r="K6" s="9">
        <f>K5+J6</f>
        <v/>
      </c>
    </row>
    <row r="7">
      <c r="A7" t="n">
        <v>6</v>
      </c>
      <c r="B7" s="8">
        <f>ROUND(B6*(1+'Hypothèses'!B4),0)</f>
        <v/>
      </c>
      <c r="C7" s="8">
        <f>B7-D7</f>
        <v/>
      </c>
      <c r="D7" s="8">
        <f>MAX(0,ROUND(D6*(1-'Hypothèses'!B38)+(B7-B6)*'Hypothèses'!B37,0))</f>
        <v/>
      </c>
      <c r="E7" s="9">
        <f>D7*'Hypothèses'!B39/12</f>
        <v/>
      </c>
      <c r="F7" s="9">
        <f>C7*'Hypothèses'!B41*'Hypothèses'!B42/1000*'Hypothèses'!B40</f>
        <v/>
      </c>
      <c r="G7" s="9">
        <f>E7+F7</f>
        <v/>
      </c>
      <c r="H7" s="9">
        <f>(C7*1+D7*3)*'Hypothèses'!B8</f>
        <v/>
      </c>
      <c r="I7" s="9">
        <f>'Hypothèses'!B9</f>
        <v/>
      </c>
      <c r="J7" s="9">
        <f>G7-H7-I7</f>
        <v/>
      </c>
      <c r="K7" s="9">
        <f>K6+J7</f>
        <v/>
      </c>
    </row>
    <row r="8">
      <c r="A8" t="n">
        <v>7</v>
      </c>
      <c r="B8" s="8">
        <f>ROUND(B7*(1+'Hypothèses'!B4),0)</f>
        <v/>
      </c>
      <c r="C8" s="8">
        <f>B8-D8</f>
        <v/>
      </c>
      <c r="D8" s="8">
        <f>MAX(0,ROUND(D7*(1-'Hypothèses'!B38)+(B8-B7)*'Hypothèses'!B37,0))</f>
        <v/>
      </c>
      <c r="E8" s="9">
        <f>D8*'Hypothèses'!B39/12</f>
        <v/>
      </c>
      <c r="F8" s="9">
        <f>C8*'Hypothèses'!B41*'Hypothèses'!B42/1000*'Hypothèses'!B40</f>
        <v/>
      </c>
      <c r="G8" s="9">
        <f>E8+F8</f>
        <v/>
      </c>
      <c r="H8" s="9">
        <f>(C8*1+D8*3)*'Hypothèses'!B8</f>
        <v/>
      </c>
      <c r="I8" s="9">
        <f>'Hypothèses'!B9</f>
        <v/>
      </c>
      <c r="J8" s="9">
        <f>G8-H8-I8</f>
        <v/>
      </c>
      <c r="K8" s="9">
        <f>K7+J8</f>
        <v/>
      </c>
    </row>
    <row r="9">
      <c r="A9" t="n">
        <v>8</v>
      </c>
      <c r="B9" s="8">
        <f>ROUND(B8*(1+'Hypothèses'!B4),0)</f>
        <v/>
      </c>
      <c r="C9" s="8">
        <f>B9-D9</f>
        <v/>
      </c>
      <c r="D9" s="8">
        <f>MAX(0,ROUND(D8*(1-'Hypothèses'!B38)+(B9-B8)*'Hypothèses'!B37,0))</f>
        <v/>
      </c>
      <c r="E9" s="9">
        <f>D9*'Hypothèses'!B39/12</f>
        <v/>
      </c>
      <c r="F9" s="9">
        <f>C9*'Hypothèses'!B41*'Hypothèses'!B42/1000*'Hypothèses'!B40</f>
        <v/>
      </c>
      <c r="G9" s="9">
        <f>E9+F9</f>
        <v/>
      </c>
      <c r="H9" s="9">
        <f>(C9*1+D9*3)*'Hypothèses'!B8</f>
        <v/>
      </c>
      <c r="I9" s="9">
        <f>'Hypothèses'!B9</f>
        <v/>
      </c>
      <c r="J9" s="9">
        <f>G9-H9-I9</f>
        <v/>
      </c>
      <c r="K9" s="9">
        <f>K8+J9</f>
        <v/>
      </c>
    </row>
    <row r="10">
      <c r="A10" t="n">
        <v>9</v>
      </c>
      <c r="B10" s="8">
        <f>ROUND(B9*(1+'Hypothèses'!B4),0)</f>
        <v/>
      </c>
      <c r="C10" s="8">
        <f>B10-D10</f>
        <v/>
      </c>
      <c r="D10" s="8">
        <f>MAX(0,ROUND(D9*(1-'Hypothèses'!B38)+(B10-B9)*'Hypothèses'!B37,0))</f>
        <v/>
      </c>
      <c r="E10" s="9">
        <f>D10*'Hypothèses'!B39/12</f>
        <v/>
      </c>
      <c r="F10" s="9">
        <f>C10*'Hypothèses'!B41*'Hypothèses'!B42/1000*'Hypothèses'!B40</f>
        <v/>
      </c>
      <c r="G10" s="9">
        <f>E10+F10</f>
        <v/>
      </c>
      <c r="H10" s="9">
        <f>(C10*1+D10*3)*'Hypothèses'!B8</f>
        <v/>
      </c>
      <c r="I10" s="9">
        <f>'Hypothèses'!B9</f>
        <v/>
      </c>
      <c r="J10" s="9">
        <f>G10-H10-I10</f>
        <v/>
      </c>
      <c r="K10" s="9">
        <f>K9+J10</f>
        <v/>
      </c>
    </row>
    <row r="11">
      <c r="A11" t="n">
        <v>10</v>
      </c>
      <c r="B11" s="8">
        <f>ROUND(B10*(1+'Hypothèses'!B4),0)</f>
        <v/>
      </c>
      <c r="C11" s="8">
        <f>B11-D11</f>
        <v/>
      </c>
      <c r="D11" s="8">
        <f>MAX(0,ROUND(D10*(1-'Hypothèses'!B38)+(B11-B10)*'Hypothèses'!B37,0))</f>
        <v/>
      </c>
      <c r="E11" s="9">
        <f>D11*'Hypothèses'!B39/12</f>
        <v/>
      </c>
      <c r="F11" s="9">
        <f>C11*'Hypothèses'!B41*'Hypothèses'!B42/1000*'Hypothèses'!B40</f>
        <v/>
      </c>
      <c r="G11" s="9">
        <f>E11+F11</f>
        <v/>
      </c>
      <c r="H11" s="9">
        <f>(C11*1+D11*3)*'Hypothèses'!B8</f>
        <v/>
      </c>
      <c r="I11" s="9">
        <f>'Hypothèses'!B9</f>
        <v/>
      </c>
      <c r="J11" s="9">
        <f>G11-H11-I11</f>
        <v/>
      </c>
      <c r="K11" s="9">
        <f>K10+J11</f>
        <v/>
      </c>
    </row>
    <row r="12">
      <c r="A12" t="n">
        <v>11</v>
      </c>
      <c r="B12" s="8">
        <f>ROUND(B11*(1+'Hypothèses'!B4),0)</f>
        <v/>
      </c>
      <c r="C12" s="8">
        <f>B12-D12</f>
        <v/>
      </c>
      <c r="D12" s="8">
        <f>MAX(0,ROUND(D11*(1-'Hypothèses'!B38)+(B12-B11)*'Hypothèses'!B37,0))</f>
        <v/>
      </c>
      <c r="E12" s="9">
        <f>D12*'Hypothèses'!B39/12</f>
        <v/>
      </c>
      <c r="F12" s="9">
        <f>C12*'Hypothèses'!B41*'Hypothèses'!B42/1000*'Hypothèses'!B40</f>
        <v/>
      </c>
      <c r="G12" s="9">
        <f>E12+F12</f>
        <v/>
      </c>
      <c r="H12" s="9">
        <f>(C12*1+D12*3)*'Hypothèses'!B8</f>
        <v/>
      </c>
      <c r="I12" s="9">
        <f>'Hypothèses'!B9</f>
        <v/>
      </c>
      <c r="J12" s="9">
        <f>G12-H12-I12</f>
        <v/>
      </c>
      <c r="K12" s="9">
        <f>K11+J12</f>
        <v/>
      </c>
    </row>
    <row r="13">
      <c r="A13" t="n">
        <v>12</v>
      </c>
      <c r="B13" s="8">
        <f>ROUND(B12*(1+'Hypothèses'!B4),0)</f>
        <v/>
      </c>
      <c r="C13" s="8">
        <f>B13-D13</f>
        <v/>
      </c>
      <c r="D13" s="8">
        <f>MAX(0,ROUND(D12*(1-'Hypothèses'!B38)+(B13-B12)*'Hypothèses'!B37,0))</f>
        <v/>
      </c>
      <c r="E13" s="9">
        <f>D13*'Hypothèses'!B39/12</f>
        <v/>
      </c>
      <c r="F13" s="9">
        <f>C13*'Hypothèses'!B41*'Hypothèses'!B42/1000*'Hypothèses'!B40</f>
        <v/>
      </c>
      <c r="G13" s="9">
        <f>E13+F13</f>
        <v/>
      </c>
      <c r="H13" s="9">
        <f>(C13*1+D13*3)*'Hypothèses'!B8</f>
        <v/>
      </c>
      <c r="I13" s="9">
        <f>'Hypothèses'!B9</f>
        <v/>
      </c>
      <c r="J13" s="9">
        <f>G13-H13-I13</f>
        <v/>
      </c>
      <c r="K13" s="9">
        <f>K12+J13</f>
        <v/>
      </c>
    </row>
    <row r="14">
      <c r="A14" t="n">
        <v>13</v>
      </c>
      <c r="B14" s="8">
        <f>ROUND(B13*(1+'Hypothèses'!B4),0)</f>
        <v/>
      </c>
      <c r="C14" s="8">
        <f>B14-D14</f>
        <v/>
      </c>
      <c r="D14" s="8">
        <f>MAX(0,ROUND(D13*(1-'Hypothèses'!B38)+(B14-B13)*'Hypothèses'!B37,0))</f>
        <v/>
      </c>
      <c r="E14" s="9">
        <f>D14*'Hypothèses'!B39/12</f>
        <v/>
      </c>
      <c r="F14" s="9">
        <f>C14*'Hypothèses'!B41*'Hypothèses'!B42/1000*'Hypothèses'!B40</f>
        <v/>
      </c>
      <c r="G14" s="9">
        <f>E14+F14</f>
        <v/>
      </c>
      <c r="H14" s="9">
        <f>(C14*1+D14*3)*'Hypothèses'!B8</f>
        <v/>
      </c>
      <c r="I14" s="9">
        <f>'Hypothèses'!B9</f>
        <v/>
      </c>
      <c r="J14" s="9">
        <f>G14-H14-I14</f>
        <v/>
      </c>
      <c r="K14" s="9">
        <f>K13+J14</f>
        <v/>
      </c>
    </row>
    <row r="15">
      <c r="A15" t="n">
        <v>14</v>
      </c>
      <c r="B15" s="8">
        <f>ROUND(B14*(1+'Hypothèses'!B4),0)</f>
        <v/>
      </c>
      <c r="C15" s="8">
        <f>B15-D15</f>
        <v/>
      </c>
      <c r="D15" s="8">
        <f>MAX(0,ROUND(D14*(1-'Hypothèses'!B38)+(B15-B14)*'Hypothèses'!B37,0))</f>
        <v/>
      </c>
      <c r="E15" s="9">
        <f>D15*'Hypothèses'!B39/12</f>
        <v/>
      </c>
      <c r="F15" s="9">
        <f>C15*'Hypothèses'!B41*'Hypothèses'!B42/1000*'Hypothèses'!B40</f>
        <v/>
      </c>
      <c r="G15" s="9">
        <f>E15+F15</f>
        <v/>
      </c>
      <c r="H15" s="9">
        <f>(C15*1+D15*3)*'Hypothèses'!B8</f>
        <v/>
      </c>
      <c r="I15" s="9">
        <f>'Hypothèses'!B9</f>
        <v/>
      </c>
      <c r="J15" s="9">
        <f>G15-H15-I15</f>
        <v/>
      </c>
      <c r="K15" s="9">
        <f>K14+J15</f>
        <v/>
      </c>
    </row>
    <row r="16">
      <c r="A16" t="n">
        <v>15</v>
      </c>
      <c r="B16" s="8">
        <f>ROUND(B15*(1+'Hypothèses'!B4),0)</f>
        <v/>
      </c>
      <c r="C16" s="8">
        <f>B16-D16</f>
        <v/>
      </c>
      <c r="D16" s="8">
        <f>MAX(0,ROUND(D15*(1-'Hypothèses'!B38)+(B16-B15)*'Hypothèses'!B37,0))</f>
        <v/>
      </c>
      <c r="E16" s="9">
        <f>D16*'Hypothèses'!B39/12</f>
        <v/>
      </c>
      <c r="F16" s="9">
        <f>C16*'Hypothèses'!B41*'Hypothèses'!B42/1000*'Hypothèses'!B40</f>
        <v/>
      </c>
      <c r="G16" s="9">
        <f>E16+F16</f>
        <v/>
      </c>
      <c r="H16" s="9">
        <f>(C16*1+D16*3)*'Hypothèses'!B8</f>
        <v/>
      </c>
      <c r="I16" s="9">
        <f>'Hypothèses'!B9</f>
        <v/>
      </c>
      <c r="J16" s="9">
        <f>G16-H16-I16</f>
        <v/>
      </c>
      <c r="K16" s="9">
        <f>K15+J16</f>
        <v/>
      </c>
    </row>
    <row r="17">
      <c r="A17" t="n">
        <v>16</v>
      </c>
      <c r="B17" s="8">
        <f>ROUND(B16*(1+'Hypothèses'!B4),0)</f>
        <v/>
      </c>
      <c r="C17" s="8">
        <f>B17-D17</f>
        <v/>
      </c>
      <c r="D17" s="8">
        <f>MAX(0,ROUND(D16*(1-'Hypothèses'!B38)+(B17-B16)*'Hypothèses'!B37,0))</f>
        <v/>
      </c>
      <c r="E17" s="9">
        <f>D17*'Hypothèses'!B39/12</f>
        <v/>
      </c>
      <c r="F17" s="9">
        <f>C17*'Hypothèses'!B41*'Hypothèses'!B42/1000*'Hypothèses'!B40</f>
        <v/>
      </c>
      <c r="G17" s="9">
        <f>E17+F17</f>
        <v/>
      </c>
      <c r="H17" s="9">
        <f>(C17*1+D17*3)*'Hypothèses'!B8</f>
        <v/>
      </c>
      <c r="I17" s="9">
        <f>'Hypothèses'!B9</f>
        <v/>
      </c>
      <c r="J17" s="9">
        <f>G17-H17-I17</f>
        <v/>
      </c>
      <c r="K17" s="9">
        <f>K16+J17</f>
        <v/>
      </c>
    </row>
    <row r="18">
      <c r="A18" t="n">
        <v>17</v>
      </c>
      <c r="B18" s="8">
        <f>ROUND(B17*(1+'Hypothèses'!B4),0)</f>
        <v/>
      </c>
      <c r="C18" s="8">
        <f>B18-D18</f>
        <v/>
      </c>
      <c r="D18" s="8">
        <f>MAX(0,ROUND(D17*(1-'Hypothèses'!B38)+(B18-B17)*'Hypothèses'!B37,0))</f>
        <v/>
      </c>
      <c r="E18" s="9">
        <f>D18*'Hypothèses'!B39/12</f>
        <v/>
      </c>
      <c r="F18" s="9">
        <f>C18*'Hypothèses'!B41*'Hypothèses'!B42/1000*'Hypothèses'!B40</f>
        <v/>
      </c>
      <c r="G18" s="9">
        <f>E18+F18</f>
        <v/>
      </c>
      <c r="H18" s="9">
        <f>(C18*1+D18*3)*'Hypothèses'!B8</f>
        <v/>
      </c>
      <c r="I18" s="9">
        <f>'Hypothèses'!B9</f>
        <v/>
      </c>
      <c r="J18" s="9">
        <f>G18-H18-I18</f>
        <v/>
      </c>
      <c r="K18" s="9">
        <f>K17+J18</f>
        <v/>
      </c>
    </row>
    <row r="19">
      <c r="A19" t="n">
        <v>18</v>
      </c>
      <c r="B19" s="8">
        <f>ROUND(B18*(1+'Hypothèses'!B4),0)</f>
        <v/>
      </c>
      <c r="C19" s="8">
        <f>B19-D19</f>
        <v/>
      </c>
      <c r="D19" s="8">
        <f>MAX(0,ROUND(D18*(1-'Hypothèses'!B38)+(B19-B18)*'Hypothèses'!B37,0))</f>
        <v/>
      </c>
      <c r="E19" s="9">
        <f>D19*'Hypothèses'!B39/12</f>
        <v/>
      </c>
      <c r="F19" s="9">
        <f>C19*'Hypothèses'!B41*'Hypothèses'!B42/1000*'Hypothèses'!B40</f>
        <v/>
      </c>
      <c r="G19" s="9">
        <f>E19+F19</f>
        <v/>
      </c>
      <c r="H19" s="9">
        <f>(C19*1+D19*3)*'Hypothèses'!B8</f>
        <v/>
      </c>
      <c r="I19" s="9">
        <f>'Hypothèses'!B9</f>
        <v/>
      </c>
      <c r="J19" s="9">
        <f>G19-H19-I19</f>
        <v/>
      </c>
      <c r="K19" s="9">
        <f>K18+J19</f>
        <v/>
      </c>
    </row>
    <row r="20">
      <c r="A20" t="n">
        <v>19</v>
      </c>
      <c r="B20" s="8">
        <f>ROUND(B19*(1+'Hypothèses'!B4),0)</f>
        <v/>
      </c>
      <c r="C20" s="8">
        <f>B20-D20</f>
        <v/>
      </c>
      <c r="D20" s="8">
        <f>MAX(0,ROUND(D19*(1-'Hypothèses'!B38)+(B20-B19)*'Hypothèses'!B37,0))</f>
        <v/>
      </c>
      <c r="E20" s="9">
        <f>D20*'Hypothèses'!B39/12</f>
        <v/>
      </c>
      <c r="F20" s="9">
        <f>C20*'Hypothèses'!B41*'Hypothèses'!B42/1000*'Hypothèses'!B40</f>
        <v/>
      </c>
      <c r="G20" s="9">
        <f>E20+F20</f>
        <v/>
      </c>
      <c r="H20" s="9">
        <f>(C20*1+D20*3)*'Hypothèses'!B8</f>
        <v/>
      </c>
      <c r="I20" s="9">
        <f>'Hypothèses'!B9</f>
        <v/>
      </c>
      <c r="J20" s="9">
        <f>G20-H20-I20</f>
        <v/>
      </c>
      <c r="K20" s="9">
        <f>K19+J20</f>
        <v/>
      </c>
    </row>
    <row r="21">
      <c r="A21" t="n">
        <v>20</v>
      </c>
      <c r="B21" s="8">
        <f>ROUND(B20*(1+'Hypothèses'!B4),0)</f>
        <v/>
      </c>
      <c r="C21" s="8">
        <f>B21-D21</f>
        <v/>
      </c>
      <c r="D21" s="8">
        <f>MAX(0,ROUND(D20*(1-'Hypothèses'!B38)+(B21-B20)*'Hypothèses'!B37,0))</f>
        <v/>
      </c>
      <c r="E21" s="9">
        <f>D21*'Hypothèses'!B39/12</f>
        <v/>
      </c>
      <c r="F21" s="9">
        <f>C21*'Hypothèses'!B41*'Hypothèses'!B42/1000*'Hypothèses'!B40</f>
        <v/>
      </c>
      <c r="G21" s="9">
        <f>E21+F21</f>
        <v/>
      </c>
      <c r="H21" s="9">
        <f>(C21*1+D21*3)*'Hypothèses'!B8</f>
        <v/>
      </c>
      <c r="I21" s="9">
        <f>'Hypothèses'!B9</f>
        <v/>
      </c>
      <c r="J21" s="9">
        <f>G21-H21-I21</f>
        <v/>
      </c>
      <c r="K21" s="9">
        <f>K20+J21</f>
        <v/>
      </c>
    </row>
    <row r="22">
      <c r="A22" t="n">
        <v>21</v>
      </c>
      <c r="B22" s="8">
        <f>ROUND(B21*(1+'Hypothèses'!B4),0)</f>
        <v/>
      </c>
      <c r="C22" s="8">
        <f>B22-D22</f>
        <v/>
      </c>
      <c r="D22" s="8">
        <f>MAX(0,ROUND(D21*(1-'Hypothèses'!B38)+(B22-B21)*'Hypothèses'!B37,0))</f>
        <v/>
      </c>
      <c r="E22" s="9">
        <f>D22*'Hypothèses'!B39/12</f>
        <v/>
      </c>
      <c r="F22" s="9">
        <f>C22*'Hypothèses'!B41*'Hypothèses'!B42/1000*'Hypothèses'!B40</f>
        <v/>
      </c>
      <c r="G22" s="9">
        <f>E22+F22</f>
        <v/>
      </c>
      <c r="H22" s="9">
        <f>(C22*1+D22*3)*'Hypothèses'!B8</f>
        <v/>
      </c>
      <c r="I22" s="9">
        <f>'Hypothèses'!B9</f>
        <v/>
      </c>
      <c r="J22" s="9">
        <f>G22-H22-I22</f>
        <v/>
      </c>
      <c r="K22" s="9">
        <f>K21+J22</f>
        <v/>
      </c>
    </row>
    <row r="23">
      <c r="A23" t="n">
        <v>22</v>
      </c>
      <c r="B23" s="8">
        <f>ROUND(B22*(1+'Hypothèses'!B4),0)</f>
        <v/>
      </c>
      <c r="C23" s="8">
        <f>B23-D23</f>
        <v/>
      </c>
      <c r="D23" s="8">
        <f>MAX(0,ROUND(D22*(1-'Hypothèses'!B38)+(B23-B22)*'Hypothèses'!B37,0))</f>
        <v/>
      </c>
      <c r="E23" s="9">
        <f>D23*'Hypothèses'!B39/12</f>
        <v/>
      </c>
      <c r="F23" s="9">
        <f>C23*'Hypothèses'!B41*'Hypothèses'!B42/1000*'Hypothèses'!B40</f>
        <v/>
      </c>
      <c r="G23" s="9">
        <f>E23+F23</f>
        <v/>
      </c>
      <c r="H23" s="9">
        <f>(C23*1+D23*3)*'Hypothèses'!B8</f>
        <v/>
      </c>
      <c r="I23" s="9">
        <f>'Hypothèses'!B9</f>
        <v/>
      </c>
      <c r="J23" s="9">
        <f>G23-H23-I23</f>
        <v/>
      </c>
      <c r="K23" s="9">
        <f>K22+J23</f>
        <v/>
      </c>
    </row>
    <row r="24">
      <c r="A24" t="n">
        <v>23</v>
      </c>
      <c r="B24" s="8">
        <f>ROUND(B23*(1+'Hypothèses'!B4),0)</f>
        <v/>
      </c>
      <c r="C24" s="8">
        <f>B24-D24</f>
        <v/>
      </c>
      <c r="D24" s="8">
        <f>MAX(0,ROUND(D23*(1-'Hypothèses'!B38)+(B24-B23)*'Hypothèses'!B37,0))</f>
        <v/>
      </c>
      <c r="E24" s="9">
        <f>D24*'Hypothèses'!B39/12</f>
        <v/>
      </c>
      <c r="F24" s="9">
        <f>C24*'Hypothèses'!B41*'Hypothèses'!B42/1000*'Hypothèses'!B40</f>
        <v/>
      </c>
      <c r="G24" s="9">
        <f>E24+F24</f>
        <v/>
      </c>
      <c r="H24" s="9">
        <f>(C24*1+D24*3)*'Hypothèses'!B8</f>
        <v/>
      </c>
      <c r="I24" s="9">
        <f>'Hypothèses'!B9</f>
        <v/>
      </c>
      <c r="J24" s="9">
        <f>G24-H24-I24</f>
        <v/>
      </c>
      <c r="K24" s="9">
        <f>K23+J24</f>
        <v/>
      </c>
    </row>
    <row r="25">
      <c r="A25" t="n">
        <v>24</v>
      </c>
      <c r="B25" s="8">
        <f>ROUND(B24*(1+'Hypothèses'!B4),0)</f>
        <v/>
      </c>
      <c r="C25" s="8">
        <f>B25-D25</f>
        <v/>
      </c>
      <c r="D25" s="8">
        <f>MAX(0,ROUND(D24*(1-'Hypothèses'!B38)+(B25-B24)*'Hypothèses'!B37,0))</f>
        <v/>
      </c>
      <c r="E25" s="9">
        <f>D25*'Hypothèses'!B39/12</f>
        <v/>
      </c>
      <c r="F25" s="9">
        <f>C25*'Hypothèses'!B41*'Hypothèses'!B42/1000*'Hypothèses'!B40</f>
        <v/>
      </c>
      <c r="G25" s="9">
        <f>E25+F25</f>
        <v/>
      </c>
      <c r="H25" s="9">
        <f>(C25*1+D25*3)*'Hypothèses'!B8</f>
        <v/>
      </c>
      <c r="I25" s="9">
        <f>'Hypothèses'!B9</f>
        <v/>
      </c>
      <c r="J25" s="9">
        <f>G25-H25-I25</f>
        <v/>
      </c>
      <c r="K25" s="9">
        <f>K24+J25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Mois</t>
        </is>
      </c>
      <c r="B1" s="2" t="inlineStr">
        <is>
          <t>Users totaux</t>
        </is>
      </c>
      <c r="C1" s="2" t="inlineStr">
        <is>
          <t>Voyages générés</t>
        </is>
      </c>
      <c r="D1" s="2" t="inlineStr">
        <is>
          <t>Liens affiliés affichés</t>
        </is>
      </c>
      <c r="E1" s="2" t="inlineStr">
        <is>
          <t>Clics</t>
        </is>
      </c>
      <c r="F1" s="2" t="inlineStr">
        <is>
          <t>Bookings convertis</t>
        </is>
      </c>
      <c r="G1" s="2" t="inlineStr">
        <is>
          <t>Revenu commissions (€)</t>
        </is>
      </c>
      <c r="H1" s="2" t="inlineStr">
        <is>
          <t>Coût API (€)</t>
        </is>
      </c>
      <c r="I1" s="2" t="inlineStr">
        <is>
          <t>Coût serveur (€)</t>
        </is>
      </c>
      <c r="J1" s="2" t="inlineStr">
        <is>
          <t>Marge brute (€)</t>
        </is>
      </c>
      <c r="K1" s="2" t="inlineStr">
        <is>
          <t>Revenu cumulé (€)</t>
        </is>
      </c>
    </row>
    <row r="2">
      <c r="A2" t="n">
        <v>1</v>
      </c>
      <c r="B2" s="8">
        <f>'Hypothèses'!B3</f>
        <v/>
      </c>
      <c r="C2" s="8">
        <f>B2*'Hypothèses'!B49</f>
        <v/>
      </c>
      <c r="D2">
        <f>C2*'Hypothèses'!B48</f>
        <v/>
      </c>
      <c r="E2" s="8">
        <f>ROUND(D2*'Hypothèses'!B45,0)</f>
        <v/>
      </c>
      <c r="F2" s="8">
        <f>ROUND(E2*'Hypothèses'!B46,0)</f>
        <v/>
      </c>
      <c r="G2" s="9">
        <f>F2*'Hypothèses'!B47</f>
        <v/>
      </c>
      <c r="H2" s="9">
        <f>C2*'Hypothèses'!B8</f>
        <v/>
      </c>
      <c r="I2" s="9">
        <f>'Hypothèses'!B9</f>
        <v/>
      </c>
      <c r="J2" s="9">
        <f>G2-H2-I2</f>
        <v/>
      </c>
      <c r="K2" s="9">
        <f>J2</f>
        <v/>
      </c>
    </row>
    <row r="3">
      <c r="A3" t="n">
        <v>2</v>
      </c>
      <c r="B3" s="8">
        <f>ROUND(B2*(1+'Hypothèses'!B4),0)</f>
        <v/>
      </c>
      <c r="C3" s="8">
        <f>B3*'Hypothèses'!B49</f>
        <v/>
      </c>
      <c r="D3">
        <f>C3*'Hypothèses'!B48</f>
        <v/>
      </c>
      <c r="E3" s="8">
        <f>ROUND(D3*'Hypothèses'!B45,0)</f>
        <v/>
      </c>
      <c r="F3" s="8">
        <f>ROUND(E3*'Hypothèses'!B46,0)</f>
        <v/>
      </c>
      <c r="G3" s="9">
        <f>F3*'Hypothèses'!B47</f>
        <v/>
      </c>
      <c r="H3" s="9">
        <f>C3*'Hypothèses'!B8</f>
        <v/>
      </c>
      <c r="I3" s="9">
        <f>'Hypothèses'!B9</f>
        <v/>
      </c>
      <c r="J3" s="9">
        <f>G3-H3-I3</f>
        <v/>
      </c>
      <c r="K3" s="9">
        <f>K2+J3</f>
        <v/>
      </c>
    </row>
    <row r="4">
      <c r="A4" t="n">
        <v>3</v>
      </c>
      <c r="B4" s="8">
        <f>ROUND(B3*(1+'Hypothèses'!B4),0)</f>
        <v/>
      </c>
      <c r="C4" s="8">
        <f>B4*'Hypothèses'!B49</f>
        <v/>
      </c>
      <c r="D4">
        <f>C4*'Hypothèses'!B48</f>
        <v/>
      </c>
      <c r="E4" s="8">
        <f>ROUND(D4*'Hypothèses'!B45,0)</f>
        <v/>
      </c>
      <c r="F4" s="8">
        <f>ROUND(E4*'Hypothèses'!B46,0)</f>
        <v/>
      </c>
      <c r="G4" s="9">
        <f>F4*'Hypothèses'!B47</f>
        <v/>
      </c>
      <c r="H4" s="9">
        <f>C4*'Hypothèses'!B8</f>
        <v/>
      </c>
      <c r="I4" s="9">
        <f>'Hypothèses'!B9</f>
        <v/>
      </c>
      <c r="J4" s="9">
        <f>G4-H4-I4</f>
        <v/>
      </c>
      <c r="K4" s="9">
        <f>K3+J4</f>
        <v/>
      </c>
    </row>
    <row r="5">
      <c r="A5" t="n">
        <v>4</v>
      </c>
      <c r="B5" s="8">
        <f>ROUND(B4*(1+'Hypothèses'!B4),0)</f>
        <v/>
      </c>
      <c r="C5" s="8">
        <f>B5*'Hypothèses'!B49</f>
        <v/>
      </c>
      <c r="D5">
        <f>C5*'Hypothèses'!B48</f>
        <v/>
      </c>
      <c r="E5" s="8">
        <f>ROUND(D5*'Hypothèses'!B45,0)</f>
        <v/>
      </c>
      <c r="F5" s="8">
        <f>ROUND(E5*'Hypothèses'!B46,0)</f>
        <v/>
      </c>
      <c r="G5" s="9">
        <f>F5*'Hypothèses'!B47</f>
        <v/>
      </c>
      <c r="H5" s="9">
        <f>C5*'Hypothèses'!B8</f>
        <v/>
      </c>
      <c r="I5" s="9">
        <f>'Hypothèses'!B9</f>
        <v/>
      </c>
      <c r="J5" s="9">
        <f>G5-H5-I5</f>
        <v/>
      </c>
      <c r="K5" s="9">
        <f>K4+J5</f>
        <v/>
      </c>
    </row>
    <row r="6">
      <c r="A6" t="n">
        <v>5</v>
      </c>
      <c r="B6" s="8">
        <f>ROUND(B5*(1+'Hypothèses'!B4),0)</f>
        <v/>
      </c>
      <c r="C6" s="8">
        <f>B6*'Hypothèses'!B49</f>
        <v/>
      </c>
      <c r="D6">
        <f>C6*'Hypothèses'!B48</f>
        <v/>
      </c>
      <c r="E6" s="8">
        <f>ROUND(D6*'Hypothèses'!B45,0)</f>
        <v/>
      </c>
      <c r="F6" s="8">
        <f>ROUND(E6*'Hypothèses'!B46,0)</f>
        <v/>
      </c>
      <c r="G6" s="9">
        <f>F6*'Hypothèses'!B47</f>
        <v/>
      </c>
      <c r="H6" s="9">
        <f>C6*'Hypothèses'!B8</f>
        <v/>
      </c>
      <c r="I6" s="9">
        <f>'Hypothèses'!B9</f>
        <v/>
      </c>
      <c r="J6" s="9">
        <f>G6-H6-I6</f>
        <v/>
      </c>
      <c r="K6" s="9">
        <f>K5+J6</f>
        <v/>
      </c>
    </row>
    <row r="7">
      <c r="A7" t="n">
        <v>6</v>
      </c>
      <c r="B7" s="8">
        <f>ROUND(B6*(1+'Hypothèses'!B4),0)</f>
        <v/>
      </c>
      <c r="C7" s="8">
        <f>B7*'Hypothèses'!B49</f>
        <v/>
      </c>
      <c r="D7">
        <f>C7*'Hypothèses'!B48</f>
        <v/>
      </c>
      <c r="E7" s="8">
        <f>ROUND(D7*'Hypothèses'!B45,0)</f>
        <v/>
      </c>
      <c r="F7" s="8">
        <f>ROUND(E7*'Hypothèses'!B46,0)</f>
        <v/>
      </c>
      <c r="G7" s="9">
        <f>F7*'Hypothèses'!B47</f>
        <v/>
      </c>
      <c r="H7" s="9">
        <f>C7*'Hypothèses'!B8</f>
        <v/>
      </c>
      <c r="I7" s="9">
        <f>'Hypothèses'!B9</f>
        <v/>
      </c>
      <c r="J7" s="9">
        <f>G7-H7-I7</f>
        <v/>
      </c>
      <c r="K7" s="9">
        <f>K6+J7</f>
        <v/>
      </c>
    </row>
    <row r="8">
      <c r="A8" t="n">
        <v>7</v>
      </c>
      <c r="B8" s="8">
        <f>ROUND(B7*(1+'Hypothèses'!B4),0)</f>
        <v/>
      </c>
      <c r="C8" s="8">
        <f>B8*'Hypothèses'!B49</f>
        <v/>
      </c>
      <c r="D8">
        <f>C8*'Hypothèses'!B48</f>
        <v/>
      </c>
      <c r="E8" s="8">
        <f>ROUND(D8*'Hypothèses'!B45,0)</f>
        <v/>
      </c>
      <c r="F8" s="8">
        <f>ROUND(E8*'Hypothèses'!B46,0)</f>
        <v/>
      </c>
      <c r="G8" s="9">
        <f>F8*'Hypothèses'!B47</f>
        <v/>
      </c>
      <c r="H8" s="9">
        <f>C8*'Hypothèses'!B8</f>
        <v/>
      </c>
      <c r="I8" s="9">
        <f>'Hypothèses'!B9</f>
        <v/>
      </c>
      <c r="J8" s="9">
        <f>G8-H8-I8</f>
        <v/>
      </c>
      <c r="K8" s="9">
        <f>K7+J8</f>
        <v/>
      </c>
    </row>
    <row r="9">
      <c r="A9" t="n">
        <v>8</v>
      </c>
      <c r="B9" s="8">
        <f>ROUND(B8*(1+'Hypothèses'!B4),0)</f>
        <v/>
      </c>
      <c r="C9" s="8">
        <f>B9*'Hypothèses'!B49</f>
        <v/>
      </c>
      <c r="D9">
        <f>C9*'Hypothèses'!B48</f>
        <v/>
      </c>
      <c r="E9" s="8">
        <f>ROUND(D9*'Hypothèses'!B45,0)</f>
        <v/>
      </c>
      <c r="F9" s="8">
        <f>ROUND(E9*'Hypothèses'!B46,0)</f>
        <v/>
      </c>
      <c r="G9" s="9">
        <f>F9*'Hypothèses'!B47</f>
        <v/>
      </c>
      <c r="H9" s="9">
        <f>C9*'Hypothèses'!B8</f>
        <v/>
      </c>
      <c r="I9" s="9">
        <f>'Hypothèses'!B9</f>
        <v/>
      </c>
      <c r="J9" s="9">
        <f>G9-H9-I9</f>
        <v/>
      </c>
      <c r="K9" s="9">
        <f>K8+J9</f>
        <v/>
      </c>
    </row>
    <row r="10">
      <c r="A10" t="n">
        <v>9</v>
      </c>
      <c r="B10" s="8">
        <f>ROUND(B9*(1+'Hypothèses'!B4),0)</f>
        <v/>
      </c>
      <c r="C10" s="8">
        <f>B10*'Hypothèses'!B49</f>
        <v/>
      </c>
      <c r="D10">
        <f>C10*'Hypothèses'!B48</f>
        <v/>
      </c>
      <c r="E10" s="8">
        <f>ROUND(D10*'Hypothèses'!B45,0)</f>
        <v/>
      </c>
      <c r="F10" s="8">
        <f>ROUND(E10*'Hypothèses'!B46,0)</f>
        <v/>
      </c>
      <c r="G10" s="9">
        <f>F10*'Hypothèses'!B47</f>
        <v/>
      </c>
      <c r="H10" s="9">
        <f>C10*'Hypothèses'!B8</f>
        <v/>
      </c>
      <c r="I10" s="9">
        <f>'Hypothèses'!B9</f>
        <v/>
      </c>
      <c r="J10" s="9">
        <f>G10-H10-I10</f>
        <v/>
      </c>
      <c r="K10" s="9">
        <f>K9+J10</f>
        <v/>
      </c>
    </row>
    <row r="11">
      <c r="A11" t="n">
        <v>10</v>
      </c>
      <c r="B11" s="8">
        <f>ROUND(B10*(1+'Hypothèses'!B4),0)</f>
        <v/>
      </c>
      <c r="C11" s="8">
        <f>B11*'Hypothèses'!B49</f>
        <v/>
      </c>
      <c r="D11">
        <f>C11*'Hypothèses'!B48</f>
        <v/>
      </c>
      <c r="E11" s="8">
        <f>ROUND(D11*'Hypothèses'!B45,0)</f>
        <v/>
      </c>
      <c r="F11" s="8">
        <f>ROUND(E11*'Hypothèses'!B46,0)</f>
        <v/>
      </c>
      <c r="G11" s="9">
        <f>F11*'Hypothèses'!B47</f>
        <v/>
      </c>
      <c r="H11" s="9">
        <f>C11*'Hypothèses'!B8</f>
        <v/>
      </c>
      <c r="I11" s="9">
        <f>'Hypothèses'!B9</f>
        <v/>
      </c>
      <c r="J11" s="9">
        <f>G11-H11-I11</f>
        <v/>
      </c>
      <c r="K11" s="9">
        <f>K10+J11</f>
        <v/>
      </c>
    </row>
    <row r="12">
      <c r="A12" t="n">
        <v>11</v>
      </c>
      <c r="B12" s="8">
        <f>ROUND(B11*(1+'Hypothèses'!B4),0)</f>
        <v/>
      </c>
      <c r="C12" s="8">
        <f>B12*'Hypothèses'!B49</f>
        <v/>
      </c>
      <c r="D12">
        <f>C12*'Hypothèses'!B48</f>
        <v/>
      </c>
      <c r="E12" s="8">
        <f>ROUND(D12*'Hypothèses'!B45,0)</f>
        <v/>
      </c>
      <c r="F12" s="8">
        <f>ROUND(E12*'Hypothèses'!B46,0)</f>
        <v/>
      </c>
      <c r="G12" s="9">
        <f>F12*'Hypothèses'!B47</f>
        <v/>
      </c>
      <c r="H12" s="9">
        <f>C12*'Hypothèses'!B8</f>
        <v/>
      </c>
      <c r="I12" s="9">
        <f>'Hypothèses'!B9</f>
        <v/>
      </c>
      <c r="J12" s="9">
        <f>G12-H12-I12</f>
        <v/>
      </c>
      <c r="K12" s="9">
        <f>K11+J12</f>
        <v/>
      </c>
    </row>
    <row r="13">
      <c r="A13" t="n">
        <v>12</v>
      </c>
      <c r="B13" s="8">
        <f>ROUND(B12*(1+'Hypothèses'!B4),0)</f>
        <v/>
      </c>
      <c r="C13" s="8">
        <f>B13*'Hypothèses'!B49</f>
        <v/>
      </c>
      <c r="D13">
        <f>C13*'Hypothèses'!B48</f>
        <v/>
      </c>
      <c r="E13" s="8">
        <f>ROUND(D13*'Hypothèses'!B45,0)</f>
        <v/>
      </c>
      <c r="F13" s="8">
        <f>ROUND(E13*'Hypothèses'!B46,0)</f>
        <v/>
      </c>
      <c r="G13" s="9">
        <f>F13*'Hypothèses'!B47</f>
        <v/>
      </c>
      <c r="H13" s="9">
        <f>C13*'Hypothèses'!B8</f>
        <v/>
      </c>
      <c r="I13" s="9">
        <f>'Hypothèses'!B9</f>
        <v/>
      </c>
      <c r="J13" s="9">
        <f>G13-H13-I13</f>
        <v/>
      </c>
      <c r="K13" s="9">
        <f>K12+J13</f>
        <v/>
      </c>
    </row>
    <row r="14">
      <c r="A14" t="n">
        <v>13</v>
      </c>
      <c r="B14" s="8">
        <f>ROUND(B13*(1+'Hypothèses'!B4),0)</f>
        <v/>
      </c>
      <c r="C14" s="8">
        <f>B14*'Hypothèses'!B49</f>
        <v/>
      </c>
      <c r="D14">
        <f>C14*'Hypothèses'!B48</f>
        <v/>
      </c>
      <c r="E14" s="8">
        <f>ROUND(D14*'Hypothèses'!B45,0)</f>
        <v/>
      </c>
      <c r="F14" s="8">
        <f>ROUND(E14*'Hypothèses'!B46,0)</f>
        <v/>
      </c>
      <c r="G14" s="9">
        <f>F14*'Hypothèses'!B47</f>
        <v/>
      </c>
      <c r="H14" s="9">
        <f>C14*'Hypothèses'!B8</f>
        <v/>
      </c>
      <c r="I14" s="9">
        <f>'Hypothèses'!B9</f>
        <v/>
      </c>
      <c r="J14" s="9">
        <f>G14-H14-I14</f>
        <v/>
      </c>
      <c r="K14" s="9">
        <f>K13+J14</f>
        <v/>
      </c>
    </row>
    <row r="15">
      <c r="A15" t="n">
        <v>14</v>
      </c>
      <c r="B15" s="8">
        <f>ROUND(B14*(1+'Hypothèses'!B4),0)</f>
        <v/>
      </c>
      <c r="C15" s="8">
        <f>B15*'Hypothèses'!B49</f>
        <v/>
      </c>
      <c r="D15">
        <f>C15*'Hypothèses'!B48</f>
        <v/>
      </c>
      <c r="E15" s="8">
        <f>ROUND(D15*'Hypothèses'!B45,0)</f>
        <v/>
      </c>
      <c r="F15" s="8">
        <f>ROUND(E15*'Hypothèses'!B46,0)</f>
        <v/>
      </c>
      <c r="G15" s="9">
        <f>F15*'Hypothèses'!B47</f>
        <v/>
      </c>
      <c r="H15" s="9">
        <f>C15*'Hypothèses'!B8</f>
        <v/>
      </c>
      <c r="I15" s="9">
        <f>'Hypothèses'!B9</f>
        <v/>
      </c>
      <c r="J15" s="9">
        <f>G15-H15-I15</f>
        <v/>
      </c>
      <c r="K15" s="9">
        <f>K14+J15</f>
        <v/>
      </c>
    </row>
    <row r="16">
      <c r="A16" t="n">
        <v>15</v>
      </c>
      <c r="B16" s="8">
        <f>ROUND(B15*(1+'Hypothèses'!B4),0)</f>
        <v/>
      </c>
      <c r="C16" s="8">
        <f>B16*'Hypothèses'!B49</f>
        <v/>
      </c>
      <c r="D16">
        <f>C16*'Hypothèses'!B48</f>
        <v/>
      </c>
      <c r="E16" s="8">
        <f>ROUND(D16*'Hypothèses'!B45,0)</f>
        <v/>
      </c>
      <c r="F16" s="8">
        <f>ROUND(E16*'Hypothèses'!B46,0)</f>
        <v/>
      </c>
      <c r="G16" s="9">
        <f>F16*'Hypothèses'!B47</f>
        <v/>
      </c>
      <c r="H16" s="9">
        <f>C16*'Hypothèses'!B8</f>
        <v/>
      </c>
      <c r="I16" s="9">
        <f>'Hypothèses'!B9</f>
        <v/>
      </c>
      <c r="J16" s="9">
        <f>G16-H16-I16</f>
        <v/>
      </c>
      <c r="K16" s="9">
        <f>K15+J16</f>
        <v/>
      </c>
    </row>
    <row r="17">
      <c r="A17" t="n">
        <v>16</v>
      </c>
      <c r="B17" s="8">
        <f>ROUND(B16*(1+'Hypothèses'!B4),0)</f>
        <v/>
      </c>
      <c r="C17" s="8">
        <f>B17*'Hypothèses'!B49</f>
        <v/>
      </c>
      <c r="D17">
        <f>C17*'Hypothèses'!B48</f>
        <v/>
      </c>
      <c r="E17" s="8">
        <f>ROUND(D17*'Hypothèses'!B45,0)</f>
        <v/>
      </c>
      <c r="F17" s="8">
        <f>ROUND(E17*'Hypothèses'!B46,0)</f>
        <v/>
      </c>
      <c r="G17" s="9">
        <f>F17*'Hypothèses'!B47</f>
        <v/>
      </c>
      <c r="H17" s="9">
        <f>C17*'Hypothèses'!B8</f>
        <v/>
      </c>
      <c r="I17" s="9">
        <f>'Hypothèses'!B9</f>
        <v/>
      </c>
      <c r="J17" s="9">
        <f>G17-H17-I17</f>
        <v/>
      </c>
      <c r="K17" s="9">
        <f>K16+J17</f>
        <v/>
      </c>
    </row>
    <row r="18">
      <c r="A18" t="n">
        <v>17</v>
      </c>
      <c r="B18" s="8">
        <f>ROUND(B17*(1+'Hypothèses'!B4),0)</f>
        <v/>
      </c>
      <c r="C18" s="8">
        <f>B18*'Hypothèses'!B49</f>
        <v/>
      </c>
      <c r="D18">
        <f>C18*'Hypothèses'!B48</f>
        <v/>
      </c>
      <c r="E18" s="8">
        <f>ROUND(D18*'Hypothèses'!B45,0)</f>
        <v/>
      </c>
      <c r="F18" s="8">
        <f>ROUND(E18*'Hypothèses'!B46,0)</f>
        <v/>
      </c>
      <c r="G18" s="9">
        <f>F18*'Hypothèses'!B47</f>
        <v/>
      </c>
      <c r="H18" s="9">
        <f>C18*'Hypothèses'!B8</f>
        <v/>
      </c>
      <c r="I18" s="9">
        <f>'Hypothèses'!B9</f>
        <v/>
      </c>
      <c r="J18" s="9">
        <f>G18-H18-I18</f>
        <v/>
      </c>
      <c r="K18" s="9">
        <f>K17+J18</f>
        <v/>
      </c>
    </row>
    <row r="19">
      <c r="A19" t="n">
        <v>18</v>
      </c>
      <c r="B19" s="8">
        <f>ROUND(B18*(1+'Hypothèses'!B4),0)</f>
        <v/>
      </c>
      <c r="C19" s="8">
        <f>B19*'Hypothèses'!B49</f>
        <v/>
      </c>
      <c r="D19">
        <f>C19*'Hypothèses'!B48</f>
        <v/>
      </c>
      <c r="E19" s="8">
        <f>ROUND(D19*'Hypothèses'!B45,0)</f>
        <v/>
      </c>
      <c r="F19" s="8">
        <f>ROUND(E19*'Hypothèses'!B46,0)</f>
        <v/>
      </c>
      <c r="G19" s="9">
        <f>F19*'Hypothèses'!B47</f>
        <v/>
      </c>
      <c r="H19" s="9">
        <f>C19*'Hypothèses'!B8</f>
        <v/>
      </c>
      <c r="I19" s="9">
        <f>'Hypothèses'!B9</f>
        <v/>
      </c>
      <c r="J19" s="9">
        <f>G19-H19-I19</f>
        <v/>
      </c>
      <c r="K19" s="9">
        <f>K18+J19</f>
        <v/>
      </c>
    </row>
    <row r="20">
      <c r="A20" t="n">
        <v>19</v>
      </c>
      <c r="B20" s="8">
        <f>ROUND(B19*(1+'Hypothèses'!B4),0)</f>
        <v/>
      </c>
      <c r="C20" s="8">
        <f>B20*'Hypothèses'!B49</f>
        <v/>
      </c>
      <c r="D20">
        <f>C20*'Hypothèses'!B48</f>
        <v/>
      </c>
      <c r="E20" s="8">
        <f>ROUND(D20*'Hypothèses'!B45,0)</f>
        <v/>
      </c>
      <c r="F20" s="8">
        <f>ROUND(E20*'Hypothèses'!B46,0)</f>
        <v/>
      </c>
      <c r="G20" s="9">
        <f>F20*'Hypothèses'!B47</f>
        <v/>
      </c>
      <c r="H20" s="9">
        <f>C20*'Hypothèses'!B8</f>
        <v/>
      </c>
      <c r="I20" s="9">
        <f>'Hypothèses'!B9</f>
        <v/>
      </c>
      <c r="J20" s="9">
        <f>G20-H20-I20</f>
        <v/>
      </c>
      <c r="K20" s="9">
        <f>K19+J20</f>
        <v/>
      </c>
    </row>
    <row r="21">
      <c r="A21" t="n">
        <v>20</v>
      </c>
      <c r="B21" s="8">
        <f>ROUND(B20*(1+'Hypothèses'!B4),0)</f>
        <v/>
      </c>
      <c r="C21" s="8">
        <f>B21*'Hypothèses'!B49</f>
        <v/>
      </c>
      <c r="D21">
        <f>C21*'Hypothèses'!B48</f>
        <v/>
      </c>
      <c r="E21" s="8">
        <f>ROUND(D21*'Hypothèses'!B45,0)</f>
        <v/>
      </c>
      <c r="F21" s="8">
        <f>ROUND(E21*'Hypothèses'!B46,0)</f>
        <v/>
      </c>
      <c r="G21" s="9">
        <f>F21*'Hypothèses'!B47</f>
        <v/>
      </c>
      <c r="H21" s="9">
        <f>C21*'Hypothèses'!B8</f>
        <v/>
      </c>
      <c r="I21" s="9">
        <f>'Hypothèses'!B9</f>
        <v/>
      </c>
      <c r="J21" s="9">
        <f>G21-H21-I21</f>
        <v/>
      </c>
      <c r="K21" s="9">
        <f>K20+J21</f>
        <v/>
      </c>
    </row>
    <row r="22">
      <c r="A22" t="n">
        <v>21</v>
      </c>
      <c r="B22" s="8">
        <f>ROUND(B21*(1+'Hypothèses'!B4),0)</f>
        <v/>
      </c>
      <c r="C22" s="8">
        <f>B22*'Hypothèses'!B49</f>
        <v/>
      </c>
      <c r="D22">
        <f>C22*'Hypothèses'!B48</f>
        <v/>
      </c>
      <c r="E22" s="8">
        <f>ROUND(D22*'Hypothèses'!B45,0)</f>
        <v/>
      </c>
      <c r="F22" s="8">
        <f>ROUND(E22*'Hypothèses'!B46,0)</f>
        <v/>
      </c>
      <c r="G22" s="9">
        <f>F22*'Hypothèses'!B47</f>
        <v/>
      </c>
      <c r="H22" s="9">
        <f>C22*'Hypothèses'!B8</f>
        <v/>
      </c>
      <c r="I22" s="9">
        <f>'Hypothèses'!B9</f>
        <v/>
      </c>
      <c r="J22" s="9">
        <f>G22-H22-I22</f>
        <v/>
      </c>
      <c r="K22" s="9">
        <f>K21+J22</f>
        <v/>
      </c>
    </row>
    <row r="23">
      <c r="A23" t="n">
        <v>22</v>
      </c>
      <c r="B23" s="8">
        <f>ROUND(B22*(1+'Hypothèses'!B4),0)</f>
        <v/>
      </c>
      <c r="C23" s="8">
        <f>B23*'Hypothèses'!B49</f>
        <v/>
      </c>
      <c r="D23">
        <f>C23*'Hypothèses'!B48</f>
        <v/>
      </c>
      <c r="E23" s="8">
        <f>ROUND(D23*'Hypothèses'!B45,0)</f>
        <v/>
      </c>
      <c r="F23" s="8">
        <f>ROUND(E23*'Hypothèses'!B46,0)</f>
        <v/>
      </c>
      <c r="G23" s="9">
        <f>F23*'Hypothèses'!B47</f>
        <v/>
      </c>
      <c r="H23" s="9">
        <f>C23*'Hypothèses'!B8</f>
        <v/>
      </c>
      <c r="I23" s="9">
        <f>'Hypothèses'!B9</f>
        <v/>
      </c>
      <c r="J23" s="9">
        <f>G23-H23-I23</f>
        <v/>
      </c>
      <c r="K23" s="9">
        <f>K22+J23</f>
        <v/>
      </c>
    </row>
    <row r="24">
      <c r="A24" t="n">
        <v>23</v>
      </c>
      <c r="B24" s="8">
        <f>ROUND(B23*(1+'Hypothèses'!B4),0)</f>
        <v/>
      </c>
      <c r="C24" s="8">
        <f>B24*'Hypothèses'!B49</f>
        <v/>
      </c>
      <c r="D24">
        <f>C24*'Hypothèses'!B48</f>
        <v/>
      </c>
      <c r="E24" s="8">
        <f>ROUND(D24*'Hypothèses'!B45,0)</f>
        <v/>
      </c>
      <c r="F24" s="8">
        <f>ROUND(E24*'Hypothèses'!B46,0)</f>
        <v/>
      </c>
      <c r="G24" s="9">
        <f>F24*'Hypothèses'!B47</f>
        <v/>
      </c>
      <c r="H24" s="9">
        <f>C24*'Hypothèses'!B8</f>
        <v/>
      </c>
      <c r="I24" s="9">
        <f>'Hypothèses'!B9</f>
        <v/>
      </c>
      <c r="J24" s="9">
        <f>G24-H24-I24</f>
        <v/>
      </c>
      <c r="K24" s="9">
        <f>K23+J24</f>
        <v/>
      </c>
    </row>
    <row r="25">
      <c r="A25" t="n">
        <v>24</v>
      </c>
      <c r="B25" s="8">
        <f>ROUND(B24*(1+'Hypothèses'!B4),0)</f>
        <v/>
      </c>
      <c r="C25" s="8">
        <f>B25*'Hypothèses'!B49</f>
        <v/>
      </c>
      <c r="D25">
        <f>C25*'Hypothèses'!B48</f>
        <v/>
      </c>
      <c r="E25" s="8">
        <f>ROUND(D25*'Hypothèses'!B45,0)</f>
        <v/>
      </c>
      <c r="F25" s="8">
        <f>ROUND(E25*'Hypothèses'!B46,0)</f>
        <v/>
      </c>
      <c r="G25" s="9">
        <f>F25*'Hypothèses'!B47</f>
        <v/>
      </c>
      <c r="H25" s="9">
        <f>C25*'Hypothèses'!B8</f>
        <v/>
      </c>
      <c r="I25" s="9">
        <f>'Hypothèses'!B9</f>
        <v/>
      </c>
      <c r="J25" s="9">
        <f>G25-H25-I25</f>
        <v/>
      </c>
      <c r="K25" s="9">
        <f>K24+J25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0" t="inlineStr">
        <is>
          <t>COMPARAISON DES 5 MODÈLES</t>
        </is>
      </c>
    </row>
    <row r="3">
      <c r="A3" s="1" t="inlineStr">
        <is>
          <t>À 6 mois</t>
        </is>
      </c>
    </row>
    <row r="4">
      <c r="A4" s="2" t="inlineStr">
        <is>
          <t>Métrique</t>
        </is>
      </c>
      <c r="B4" s="2" t="inlineStr">
        <is>
          <t>Freemium+Abo</t>
        </is>
      </c>
      <c r="C4" s="2" t="inlineStr">
        <is>
          <t>Gratuit+Pub</t>
        </is>
      </c>
      <c r="D4" s="2" t="inlineStr">
        <is>
          <t>Paiement unité</t>
        </is>
      </c>
      <c r="E4" s="2" t="inlineStr">
        <is>
          <t>Hybride Abo+Pub</t>
        </is>
      </c>
      <c r="F4" s="2" t="inlineStr">
        <is>
          <t>Affiliés</t>
        </is>
      </c>
    </row>
    <row r="5">
      <c r="A5" t="inlineStr">
        <is>
          <t>Users totaux</t>
        </is>
      </c>
      <c r="B5" s="8">
        <f>'1-Freemium+Abo'!B7</f>
        <v/>
      </c>
      <c r="C5" s="8">
        <f>'2-Gratuit+Pub'!B7</f>
        <v/>
      </c>
      <c r="D5" s="8">
        <f>'3-Paiement unité'!B7</f>
        <v/>
      </c>
      <c r="E5" s="8">
        <f>'4-Hybride'!B7</f>
        <v/>
      </c>
      <c r="F5" s="8">
        <f>'5-Affiliés'!B7</f>
        <v/>
      </c>
    </row>
    <row r="6">
      <c r="A6" t="inlineStr">
        <is>
          <t>Revenu cumulé (marge)</t>
        </is>
      </c>
      <c r="B6" s="9">
        <f>'1-Freemium+Abo'!M7</f>
        <v/>
      </c>
      <c r="C6" s="9">
        <f>'2-Gratuit+Pub'!J7</f>
        <v/>
      </c>
      <c r="D6" s="9">
        <f>'3-Paiement unité'!I7</f>
        <v/>
      </c>
      <c r="E6" s="9">
        <f>'4-Hybride'!K7</f>
        <v/>
      </c>
      <c r="F6" s="9">
        <f>'5-Affiliés'!K7</f>
        <v/>
      </c>
    </row>
    <row r="7">
      <c r="A7" t="inlineStr">
        <is>
          <t>Marge mensuelle</t>
        </is>
      </c>
      <c r="B7" s="9">
        <f>'1-Freemium+Abo'!L7</f>
        <v/>
      </c>
      <c r="C7" s="9">
        <f>'2-Gratuit+Pub'!I7</f>
        <v/>
      </c>
      <c r="D7" s="9">
        <f>'3-Paiement unité'!H7</f>
        <v/>
      </c>
      <c r="E7" s="9">
        <f>'4-Hybride'!J7</f>
        <v/>
      </c>
      <c r="F7" s="9">
        <f>'5-Affiliés'!J7</f>
        <v/>
      </c>
    </row>
    <row r="8">
      <c r="A8" t="inlineStr">
        <is>
          <t>ARPU mensuel</t>
        </is>
      </c>
      <c r="B8" s="9">
        <f>IF('1-Freemium+Abo'!B7&gt;0,'1-Freemium+Abo'!I7/'1-Freemium+Abo'!B7,0)</f>
        <v/>
      </c>
      <c r="C8" s="9">
        <f>IF('2-Gratuit+Pub'!B7&gt;0,'2-Gratuit+Pub'!F7/'2-Gratuit+Pub'!B7,0)</f>
        <v/>
      </c>
      <c r="D8" s="9">
        <f>IF('3-Paiement unité'!B7&gt;0,'3-Paiement unité'!E7/'3-Paiement unité'!B7,0)</f>
        <v/>
      </c>
      <c r="E8" s="9">
        <f>IF('4-Hybride'!B7&gt;0,'4-Hybride'!G7/'4-Hybride'!B7,0)</f>
        <v/>
      </c>
      <c r="F8" s="9">
        <f>IF('5-Affiliés'!B7&gt;0,'5-Affiliés'!G7/'5-Affiliés'!B7,0)</f>
        <v/>
      </c>
    </row>
    <row r="10">
      <c r="A10" s="1" t="inlineStr">
        <is>
          <t>À 12 mois</t>
        </is>
      </c>
    </row>
    <row r="11">
      <c r="A11" s="2" t="inlineStr">
        <is>
          <t>Métrique</t>
        </is>
      </c>
      <c r="B11" s="2" t="inlineStr">
        <is>
          <t>Freemium+Abo</t>
        </is>
      </c>
      <c r="C11" s="2" t="inlineStr">
        <is>
          <t>Gratuit+Pub</t>
        </is>
      </c>
      <c r="D11" s="2" t="inlineStr">
        <is>
          <t>Paiement unité</t>
        </is>
      </c>
      <c r="E11" s="2" t="inlineStr">
        <is>
          <t>Hybride Abo+Pub</t>
        </is>
      </c>
      <c r="F11" s="2" t="inlineStr">
        <is>
          <t>Affiliés</t>
        </is>
      </c>
    </row>
    <row r="12">
      <c r="A12" t="inlineStr">
        <is>
          <t>Users totaux</t>
        </is>
      </c>
      <c r="B12" s="8">
        <f>'1-Freemium+Abo'!B13</f>
        <v/>
      </c>
      <c r="C12" s="8">
        <f>'2-Gratuit+Pub'!B13</f>
        <v/>
      </c>
      <c r="D12" s="8">
        <f>'3-Paiement unité'!B13</f>
        <v/>
      </c>
      <c r="E12" s="8">
        <f>'4-Hybride'!B13</f>
        <v/>
      </c>
      <c r="F12" s="8">
        <f>'5-Affiliés'!B13</f>
        <v/>
      </c>
    </row>
    <row r="13">
      <c r="A13" t="inlineStr">
        <is>
          <t>Revenu cumulé (marge)</t>
        </is>
      </c>
      <c r="B13" s="9">
        <f>'1-Freemium+Abo'!M13</f>
        <v/>
      </c>
      <c r="C13" s="9">
        <f>'2-Gratuit+Pub'!J13</f>
        <v/>
      </c>
      <c r="D13" s="9">
        <f>'3-Paiement unité'!I13</f>
        <v/>
      </c>
      <c r="E13" s="9">
        <f>'4-Hybride'!K13</f>
        <v/>
      </c>
      <c r="F13" s="9">
        <f>'5-Affiliés'!K13</f>
        <v/>
      </c>
    </row>
    <row r="14">
      <c r="A14" t="inlineStr">
        <is>
          <t>Marge mensuelle</t>
        </is>
      </c>
      <c r="B14" s="9">
        <f>'1-Freemium+Abo'!L13</f>
        <v/>
      </c>
      <c r="C14" s="9">
        <f>'2-Gratuit+Pub'!I13</f>
        <v/>
      </c>
      <c r="D14" s="9">
        <f>'3-Paiement unité'!H13</f>
        <v/>
      </c>
      <c r="E14" s="9">
        <f>'4-Hybride'!J13</f>
        <v/>
      </c>
      <c r="F14" s="9">
        <f>'5-Affiliés'!J13</f>
        <v/>
      </c>
    </row>
    <row r="15">
      <c r="A15" t="inlineStr">
        <is>
          <t>ARPU mensuel</t>
        </is>
      </c>
      <c r="B15" s="9">
        <f>IF('1-Freemium+Abo'!B13&gt;0,'1-Freemium+Abo'!I13/'1-Freemium+Abo'!B13,0)</f>
        <v/>
      </c>
      <c r="C15" s="9">
        <f>IF('2-Gratuit+Pub'!B13&gt;0,'2-Gratuit+Pub'!F13/'2-Gratuit+Pub'!B13,0)</f>
        <v/>
      </c>
      <c r="D15" s="9">
        <f>IF('3-Paiement unité'!B13&gt;0,'3-Paiement unité'!E13/'3-Paiement unité'!B13,0)</f>
        <v/>
      </c>
      <c r="E15" s="9">
        <f>IF('4-Hybride'!B13&gt;0,'4-Hybride'!G13/'4-Hybride'!B13,0)</f>
        <v/>
      </c>
      <c r="F15" s="9">
        <f>IF('5-Affiliés'!B13&gt;0,'5-Affiliés'!G13/'5-Affiliés'!B13,0)</f>
        <v/>
      </c>
    </row>
    <row r="17">
      <c r="A17" s="1" t="inlineStr">
        <is>
          <t>À 24 mois</t>
        </is>
      </c>
    </row>
    <row r="18">
      <c r="A18" s="2" t="inlineStr">
        <is>
          <t>Métrique</t>
        </is>
      </c>
      <c r="B18" s="2" t="inlineStr">
        <is>
          <t>Freemium+Abo</t>
        </is>
      </c>
      <c r="C18" s="2" t="inlineStr">
        <is>
          <t>Gratuit+Pub</t>
        </is>
      </c>
      <c r="D18" s="2" t="inlineStr">
        <is>
          <t>Paiement unité</t>
        </is>
      </c>
      <c r="E18" s="2" t="inlineStr">
        <is>
          <t>Hybride Abo+Pub</t>
        </is>
      </c>
      <c r="F18" s="2" t="inlineStr">
        <is>
          <t>Affiliés</t>
        </is>
      </c>
    </row>
    <row r="19">
      <c r="A19" t="inlineStr">
        <is>
          <t>Users totaux</t>
        </is>
      </c>
      <c r="B19" s="8">
        <f>'1-Freemium+Abo'!B25</f>
        <v/>
      </c>
      <c r="C19" s="8">
        <f>'2-Gratuit+Pub'!B25</f>
        <v/>
      </c>
      <c r="D19" s="8">
        <f>'3-Paiement unité'!B25</f>
        <v/>
      </c>
      <c r="E19" s="8">
        <f>'4-Hybride'!B25</f>
        <v/>
      </c>
      <c r="F19" s="8">
        <f>'5-Affiliés'!B25</f>
        <v/>
      </c>
    </row>
    <row r="20">
      <c r="A20" t="inlineStr">
        <is>
          <t>Revenu cumulé (marge)</t>
        </is>
      </c>
      <c r="B20" s="9">
        <f>'1-Freemium+Abo'!M25</f>
        <v/>
      </c>
      <c r="C20" s="9">
        <f>'2-Gratuit+Pub'!J25</f>
        <v/>
      </c>
      <c r="D20" s="9">
        <f>'3-Paiement unité'!I25</f>
        <v/>
      </c>
      <c r="E20" s="9">
        <f>'4-Hybride'!K25</f>
        <v/>
      </c>
      <c r="F20" s="9">
        <f>'5-Affiliés'!K25</f>
        <v/>
      </c>
    </row>
    <row r="21">
      <c r="A21" t="inlineStr">
        <is>
          <t>Marge mensuelle</t>
        </is>
      </c>
      <c r="B21" s="9">
        <f>'1-Freemium+Abo'!L25</f>
        <v/>
      </c>
      <c r="C21" s="9">
        <f>'2-Gratuit+Pub'!I25</f>
        <v/>
      </c>
      <c r="D21" s="9">
        <f>'3-Paiement unité'!H25</f>
        <v/>
      </c>
      <c r="E21" s="9">
        <f>'4-Hybride'!J25</f>
        <v/>
      </c>
      <c r="F21" s="9">
        <f>'5-Affiliés'!J25</f>
        <v/>
      </c>
    </row>
    <row r="22">
      <c r="A22" t="inlineStr">
        <is>
          <t>ARPU mensuel</t>
        </is>
      </c>
      <c r="B22" s="9">
        <f>IF('1-Freemium+Abo'!B25&gt;0,'1-Freemium+Abo'!I25/'1-Freemium+Abo'!B25,0)</f>
        <v/>
      </c>
      <c r="C22" s="9">
        <f>IF('2-Gratuit+Pub'!B25&gt;0,'2-Gratuit+Pub'!F25/'2-Gratuit+Pub'!B25,0)</f>
        <v/>
      </c>
      <c r="D22" s="9">
        <f>IF('3-Paiement unité'!B25&gt;0,'3-Paiement unité'!E25/'3-Paiement unité'!B25,0)</f>
        <v/>
      </c>
      <c r="E22" s="9">
        <f>IF('4-Hybride'!B25&gt;0,'4-Hybride'!G25/'4-Hybride'!B25,0)</f>
        <v/>
      </c>
      <c r="F22" s="9">
        <f>IF('5-Affiliés'!B25&gt;0,'5-Affiliés'!G25/'5-Affiliés'!B25,0)</f>
        <v/>
      </c>
    </row>
    <row r="24">
      <c r="A24" s="1" t="inlineStr">
        <is>
          <t>RECOMMANDATIONS</t>
        </is>
      </c>
    </row>
    <row r="25">
      <c r="A25" t="inlineStr">
        <is>
          <t>1. Le modèle actuel (Freemium+Abo) est solide mais les coûts API (~0.40€/voyage) mangent la marge.</t>
        </is>
      </c>
    </row>
    <row r="26">
      <c r="A26" t="inlineStr">
        <is>
          <t>2. Paiement à l'unité génère le plus de revenu mais la rétention est le risque principal.</t>
        </is>
      </c>
    </row>
    <row r="27">
      <c r="A27" t="inlineStr">
        <is>
          <t>3. La pub seule ne couvre PAS les coûts API - le CPM web est trop bas.</t>
        </is>
      </c>
    </row>
    <row r="28">
      <c r="A28" t="inlineStr">
        <is>
          <t>4. Les affiliés seuls ne sont pas viables (commissions trop faibles vs coûts).</t>
        </is>
      </c>
    </row>
    <row r="29">
      <c r="A29" t="inlineStr">
        <is>
          <t>5. Action recommandée : augmenter le prix Pro à 19.99€/an et réduire les coûts API (cache, batch).</t>
        </is>
      </c>
    </row>
    <row r="30">
      <c r="A30" t="inlineStr">
        <is>
          <t>6. Modifier les cellules jaunes dans l'onglet Hypothèses pour tester vos scénarios.</t>
        </is>
      </c>
    </row>
  </sheetData>
  <mergeCells count="10">
    <mergeCell ref="A10:F10"/>
    <mergeCell ref="A28:F28"/>
    <mergeCell ref="A1:F1"/>
    <mergeCell ref="A27:F27"/>
    <mergeCell ref="A26:F26"/>
    <mergeCell ref="A17:F17"/>
    <mergeCell ref="A3:F3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2026-02-02T22:51:06Z</dcterms:created>
  <dcterms:modified xsi:type="dcterms:W3CDTF">2026-02-02T22:51:06Z</dcterms:modified>
</cp:coreProperties>
</file>